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Page" sheetId="2" r:id="rId5"/>
  </sheets>
  <definedNames/>
  <calcPr/>
</workbook>
</file>

<file path=xl/sharedStrings.xml><?xml version="1.0" encoding="utf-8"?>
<sst xmlns="http://schemas.openxmlformats.org/spreadsheetml/2006/main" count="69" uniqueCount="55">
  <si>
    <t>Timestamp</t>
  </si>
  <si>
    <t>Untitled Question</t>
  </si>
  <si>
    <t>CS (Swim)</t>
  </si>
  <si>
    <t>CP</t>
  </si>
  <si>
    <t>CS (Run)</t>
  </si>
  <si>
    <t>Body Weight</t>
  </si>
  <si>
    <t>PRICE</t>
  </si>
  <si>
    <t>Yardage</t>
  </si>
  <si>
    <t>Nature of Workout</t>
  </si>
  <si>
    <t>Tempo</t>
  </si>
  <si>
    <t>High-Intensity</t>
  </si>
  <si>
    <t>Workout Pace</t>
  </si>
  <si>
    <t>1:20-1:30</t>
  </si>
  <si>
    <t>Hours</t>
  </si>
  <si>
    <t>Minutes</t>
  </si>
  <si>
    <t>IF</t>
  </si>
  <si>
    <t>SWIM CHO</t>
  </si>
  <si>
    <t>BIKE CHO</t>
  </si>
  <si>
    <t>RUN CHO</t>
  </si>
  <si>
    <t>BIKE</t>
  </si>
  <si>
    <t>Run Stuff</t>
  </si>
  <si>
    <t>NP</t>
  </si>
  <si>
    <t>Fat</t>
  </si>
  <si>
    <t>CHO</t>
  </si>
  <si>
    <t>CS in sec</t>
  </si>
  <si>
    <t>Work</t>
  </si>
  <si>
    <t>CS in m/s</t>
  </si>
  <si>
    <t>CS in km/hr</t>
  </si>
  <si>
    <t>O2 cost per km</t>
  </si>
  <si>
    <t>Weight in kg</t>
  </si>
  <si>
    <t>CS in km/min</t>
  </si>
  <si>
    <t>% CHO</t>
  </si>
  <si>
    <t>Running Economy (L/min @TH)</t>
  </si>
  <si>
    <t>% Fat</t>
  </si>
  <si>
    <t>Swim Stuff</t>
  </si>
  <si>
    <t>Calories</t>
  </si>
  <si>
    <t>CHO calories</t>
  </si>
  <si>
    <t>CHO (Work)</t>
  </si>
  <si>
    <t>TOTAL</t>
  </si>
  <si>
    <t>RUN</t>
  </si>
  <si>
    <t>VO2 adjust for IF</t>
  </si>
  <si>
    <t>kcal/min</t>
  </si>
  <si>
    <t>kcal</t>
  </si>
  <si>
    <t>% from CHO</t>
  </si>
  <si>
    <t>kcal from CHO</t>
  </si>
  <si>
    <t>g CHO</t>
  </si>
  <si>
    <t>Swim</t>
  </si>
  <si>
    <t># of 100s</t>
  </si>
  <si>
    <t>Nature of Swim</t>
  </si>
  <si>
    <t>Pace Factor</t>
  </si>
  <si>
    <t>cal/min</t>
  </si>
  <si>
    <t>Offset</t>
  </si>
  <si>
    <t>Swim Duration</t>
  </si>
  <si>
    <t>Total Calories</t>
  </si>
  <si>
    <t>g of 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</si>
</sst>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/>
    </xf>
    <xf borderId="0" fillId="2" fontId="1" numFmtId="20" xfId="0" applyAlignment="1" applyFill="1" applyFont="1" applyNumberFormat="1">
      <alignment horizontal="center" readingOrder="0"/>
    </xf>
    <xf borderId="0" fillId="0" fontId="1" numFmtId="164" xfId="0" applyFont="1" applyNumberFormat="1"/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3" fontId="3" numFmtId="0" xfId="0" applyAlignment="1" applyFill="1" applyFont="1">
      <alignment horizontal="center" readingOrder="0" vertical="bottom"/>
    </xf>
    <xf borderId="0" fillId="0" fontId="1" numFmtId="0" xfId="0" applyFont="1"/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9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0" fillId="4" fontId="3" numFmtId="9" xfId="0" applyAlignment="1" applyFont="1" applyNumberFormat="1">
      <alignment horizontal="center" readingOrder="0" vertical="bottom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ont="1">
      <alignment horizontal="center"/>
    </xf>
    <xf borderId="0" fillId="5" fontId="2" numFmtId="1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Fat and CHO vs. Intensity Factor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Page!$L$27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Page!$K$28:$K$138</c:f>
            </c:strRef>
          </c:cat>
          <c:val>
            <c:numRef>
              <c:f>Page!$L$28:$L$138</c:f>
              <c:numCache/>
            </c:numRef>
          </c:val>
          <c:smooth val="0"/>
        </c:ser>
        <c:ser>
          <c:idx val="1"/>
          <c:order val="1"/>
          <c:tx>
            <c:strRef>
              <c:f>Page!$M$27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Page!$K$28:$K$138</c:f>
            </c:strRef>
          </c:cat>
          <c:val>
            <c:numRef>
              <c:f>Page!$M$28:$M$138</c:f>
              <c:numCache/>
            </c:numRef>
          </c:val>
          <c:smooth val="0"/>
        </c:ser>
        <c:axId val="437873934"/>
        <c:axId val="1367108112"/>
      </c:lineChart>
      <c:catAx>
        <c:axId val="437873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 Factor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108112"/>
      </c:catAx>
      <c:valAx>
        <c:axId val="1367108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Fueling Contribution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873934"/>
        <c:majorUnit val="0.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Page!$V$9:$V$18</c:f>
            </c:strRef>
          </c:cat>
          <c:val>
            <c:numRef>
              <c:f>Page!$W$9:$W$18</c:f>
              <c:numCache/>
            </c:numRef>
          </c:val>
        </c:ser>
        <c:axId val="1905308104"/>
        <c:axId val="535122975"/>
      </c:barChart>
      <c:catAx>
        <c:axId val="1905308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122975"/>
      </c:catAx>
      <c:valAx>
        <c:axId val="535122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308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112</xdr:row>
      <xdr:rowOff>85725</xdr:rowOff>
    </xdr:from>
    <xdr:ext cx="7505700" cy="4638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847725</xdr:colOff>
      <xdr:row>4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2.75"/>
    <col customWidth="1" min="3" max="3" width="19.13"/>
    <col customWidth="1" min="4" max="4" width="18.88"/>
    <col customWidth="1" min="5" max="5" width="19.13"/>
    <col customWidth="1" min="6" max="6" width="20.75"/>
    <col customWidth="1" min="7" max="7" width="19.13"/>
    <col customWidth="1" min="8" max="8" width="20.63"/>
  </cols>
  <sheetData>
    <row r="1">
      <c r="A1" s="3" t="s">
        <v>2</v>
      </c>
      <c r="B1" s="4">
        <v>0.06597222222222222</v>
      </c>
      <c r="L1" s="5"/>
      <c r="M1" s="5"/>
    </row>
    <row r="2">
      <c r="A2" s="3" t="s">
        <v>3</v>
      </c>
      <c r="B2" s="6">
        <v>256.0</v>
      </c>
      <c r="L2" s="5"/>
      <c r="M2" s="5"/>
    </row>
    <row r="3">
      <c r="A3" s="3" t="s">
        <v>4</v>
      </c>
      <c r="B3" s="4">
        <v>0.29375</v>
      </c>
      <c r="L3" s="5"/>
      <c r="M3" s="5"/>
    </row>
    <row r="4">
      <c r="A4" s="3" t="s">
        <v>5</v>
      </c>
      <c r="B4" s="6">
        <v>175.0</v>
      </c>
      <c r="L4" s="5"/>
      <c r="M4" s="5"/>
    </row>
    <row r="5">
      <c r="L5" s="5"/>
      <c r="M5" s="5"/>
    </row>
    <row r="6">
      <c r="A6" s="7"/>
      <c r="B6" s="8"/>
      <c r="C6" s="8"/>
      <c r="D6" s="8"/>
      <c r="E6" s="8"/>
      <c r="F6" s="8"/>
      <c r="G6" s="8"/>
      <c r="H6" s="8"/>
      <c r="J6" s="9" t="s">
        <v>6</v>
      </c>
      <c r="K6" s="10">
        <v>0.15</v>
      </c>
      <c r="L6" s="5"/>
      <c r="M6" s="5"/>
    </row>
    <row r="7">
      <c r="A7" s="11" t="s">
        <v>7</v>
      </c>
      <c r="B7" s="12">
        <v>2500.0</v>
      </c>
      <c r="C7" s="12"/>
      <c r="D7" s="12"/>
      <c r="E7" s="12">
        <v>2600.0</v>
      </c>
      <c r="F7" s="12"/>
      <c r="G7" s="12"/>
      <c r="H7" s="12"/>
      <c r="J7" s="9">
        <v>166.5</v>
      </c>
      <c r="K7" s="13">
        <f>roundup(J7*1.15,0)</f>
        <v>192</v>
      </c>
      <c r="L7" s="5"/>
      <c r="M7" s="5"/>
    </row>
    <row r="8">
      <c r="A8" s="11" t="s">
        <v>8</v>
      </c>
      <c r="B8" s="12" t="s">
        <v>9</v>
      </c>
      <c r="C8" s="12"/>
      <c r="D8" s="12"/>
      <c r="E8" s="12" t="s">
        <v>10</v>
      </c>
      <c r="F8" s="12"/>
      <c r="G8" s="12"/>
      <c r="H8" s="12"/>
      <c r="L8" s="5"/>
      <c r="M8" s="5"/>
    </row>
    <row r="9">
      <c r="A9" s="11" t="s">
        <v>11</v>
      </c>
      <c r="B9" s="12" t="s">
        <v>12</v>
      </c>
      <c r="C9" s="12"/>
      <c r="D9" s="12"/>
      <c r="E9" s="12" t="s">
        <v>12</v>
      </c>
      <c r="F9" s="12"/>
      <c r="G9" s="12"/>
      <c r="H9" s="12"/>
      <c r="L9" s="5"/>
      <c r="M9" s="5"/>
      <c r="V9" s="9">
        <v>100.0</v>
      </c>
      <c r="W9" s="9">
        <v>1.0</v>
      </c>
    </row>
    <row r="10">
      <c r="B10" s="14"/>
      <c r="C10" s="14"/>
      <c r="D10" s="14"/>
      <c r="E10" s="14"/>
      <c r="F10" s="14"/>
      <c r="G10" s="14"/>
      <c r="H10" s="14"/>
      <c r="J10" s="9">
        <v>75.0</v>
      </c>
      <c r="V10" s="13">
        <f t="shared" ref="V10:V21" si="1">V9+20</f>
        <v>120</v>
      </c>
      <c r="W10" s="9">
        <v>1.1</v>
      </c>
    </row>
    <row r="11">
      <c r="A11" s="11" t="s">
        <v>13</v>
      </c>
      <c r="B11" s="15"/>
      <c r="C11" s="16"/>
      <c r="D11" s="15"/>
      <c r="E11" s="15"/>
      <c r="F11" s="15"/>
      <c r="G11" s="15"/>
      <c r="H11" s="15"/>
      <c r="J11" s="9">
        <v>105.0</v>
      </c>
      <c r="L11" s="5"/>
      <c r="M11" s="5"/>
      <c r="V11" s="13">
        <f t="shared" si="1"/>
        <v>140</v>
      </c>
      <c r="W11" s="9">
        <v>1.1</v>
      </c>
    </row>
    <row r="12">
      <c r="A12" s="11" t="s">
        <v>14</v>
      </c>
      <c r="B12" s="16"/>
      <c r="C12" s="16">
        <v>65.0</v>
      </c>
      <c r="D12" s="16"/>
      <c r="E12" s="16">
        <v>60.0</v>
      </c>
      <c r="F12" s="16"/>
      <c r="G12" s="16">
        <v>95.0</v>
      </c>
      <c r="H12" s="16"/>
      <c r="J12" s="9">
        <v>125.0</v>
      </c>
      <c r="L12" s="5"/>
      <c r="M12" s="5"/>
      <c r="V12" s="13">
        <f t="shared" si="1"/>
        <v>160</v>
      </c>
      <c r="W12" s="9">
        <v>1.3</v>
      </c>
    </row>
    <row r="13">
      <c r="A13" s="11" t="s">
        <v>15</v>
      </c>
      <c r="B13" s="17"/>
      <c r="C13" s="17">
        <v>0.67</v>
      </c>
      <c r="D13" s="17"/>
      <c r="E13" s="17">
        <v>0.69</v>
      </c>
      <c r="F13" s="17"/>
      <c r="G13" s="17">
        <v>0.71</v>
      </c>
      <c r="H13" s="17"/>
      <c r="J13" s="9">
        <v>40.0</v>
      </c>
      <c r="L13" s="5"/>
      <c r="M13" s="5"/>
      <c r="V13" s="13">
        <f t="shared" si="1"/>
        <v>180</v>
      </c>
      <c r="W13" s="9">
        <v>1.4</v>
      </c>
    </row>
    <row r="14">
      <c r="B14" s="14"/>
      <c r="C14" s="14"/>
      <c r="D14" s="14"/>
      <c r="E14" s="14"/>
      <c r="F14" s="14"/>
      <c r="G14" s="14"/>
      <c r="H14" s="14"/>
      <c r="J14" s="18">
        <v>35.0</v>
      </c>
      <c r="V14" s="13">
        <f t="shared" si="1"/>
        <v>200</v>
      </c>
      <c r="W14" s="9">
        <v>1.6</v>
      </c>
    </row>
    <row r="15">
      <c r="A15" s="11" t="s">
        <v>13</v>
      </c>
      <c r="B15" s="19"/>
      <c r="C15" s="19"/>
      <c r="D15" s="19"/>
      <c r="E15" s="19"/>
      <c r="F15" s="19"/>
      <c r="G15" s="19"/>
      <c r="H15" s="19"/>
      <c r="J15" s="9">
        <v>90.0</v>
      </c>
      <c r="L15" s="5"/>
      <c r="M15" s="5"/>
      <c r="V15" s="13">
        <f t="shared" si="1"/>
        <v>220</v>
      </c>
      <c r="W15" s="9">
        <v>2.7</v>
      </c>
    </row>
    <row r="16">
      <c r="A16" s="11" t="s">
        <v>14</v>
      </c>
      <c r="B16" s="20">
        <v>20.0</v>
      </c>
      <c r="C16" s="20"/>
      <c r="D16" s="20">
        <v>40.0</v>
      </c>
      <c r="E16" s="20"/>
      <c r="F16" s="20">
        <v>40.0</v>
      </c>
      <c r="G16" s="20">
        <v>20.0</v>
      </c>
      <c r="H16" s="20">
        <v>45.0</v>
      </c>
      <c r="J16" s="9">
        <v>45.0</v>
      </c>
      <c r="L16" s="5"/>
      <c r="M16" s="5"/>
      <c r="V16" s="13">
        <f t="shared" si="1"/>
        <v>240</v>
      </c>
      <c r="W16" s="9">
        <v>1.9</v>
      </c>
    </row>
    <row r="17">
      <c r="A17" s="11" t="s">
        <v>15</v>
      </c>
      <c r="B17" s="21">
        <v>0.69</v>
      </c>
      <c r="C17" s="21"/>
      <c r="D17" s="21">
        <v>0.78</v>
      </c>
      <c r="E17" s="21"/>
      <c r="F17" s="21">
        <v>0.78</v>
      </c>
      <c r="G17" s="21">
        <v>0.69</v>
      </c>
      <c r="H17" s="21">
        <v>0.8</v>
      </c>
      <c r="J17" s="9">
        <v>40.0</v>
      </c>
      <c r="L17" s="5">
        <f>404*0.85</f>
        <v>343.4</v>
      </c>
      <c r="M17" s="5"/>
      <c r="V17" s="13">
        <f t="shared" si="1"/>
        <v>260</v>
      </c>
      <c r="W17" s="9">
        <v>4.1</v>
      </c>
    </row>
    <row r="18">
      <c r="J18" s="9">
        <v>80.0</v>
      </c>
      <c r="V18" s="13">
        <f t="shared" si="1"/>
        <v>280</v>
      </c>
      <c r="W18" s="9">
        <v>4.6</v>
      </c>
    </row>
    <row r="19">
      <c r="A19" s="3" t="s">
        <v>16</v>
      </c>
      <c r="B19" s="22">
        <f t="shared" ref="B19:H19" si="2">B59</f>
        <v>100</v>
      </c>
      <c r="C19" s="22">
        <f t="shared" si="2"/>
        <v>0</v>
      </c>
      <c r="D19" s="22">
        <f t="shared" si="2"/>
        <v>0</v>
      </c>
      <c r="E19" s="22">
        <f t="shared" si="2"/>
        <v>120</v>
      </c>
      <c r="F19" s="22">
        <f t="shared" si="2"/>
        <v>0</v>
      </c>
      <c r="G19" s="22">
        <f t="shared" si="2"/>
        <v>0</v>
      </c>
      <c r="H19" s="22">
        <f t="shared" si="2"/>
        <v>0</v>
      </c>
      <c r="J19" s="9">
        <v>90.0</v>
      </c>
      <c r="L19" s="5"/>
      <c r="M19" s="5"/>
      <c r="V19" s="13">
        <f t="shared" si="1"/>
        <v>300</v>
      </c>
    </row>
    <row r="20">
      <c r="A20" s="3" t="s">
        <v>17</v>
      </c>
      <c r="B20" s="23" t="str">
        <f t="shared" ref="B20:H20" si="3">B41</f>
        <v>#N/A</v>
      </c>
      <c r="C20" s="24">
        <f t="shared" si="3"/>
        <v>78.16052053</v>
      </c>
      <c r="D20" s="23" t="str">
        <f t="shared" si="3"/>
        <v>#N/A</v>
      </c>
      <c r="E20" s="24">
        <f t="shared" si="3"/>
        <v>81.0565632</v>
      </c>
      <c r="F20" s="23" t="str">
        <f t="shared" si="3"/>
        <v>#N/A</v>
      </c>
      <c r="G20" s="24">
        <f t="shared" si="3"/>
        <v>143.0645077</v>
      </c>
      <c r="H20" s="23" t="str">
        <f t="shared" si="3"/>
        <v>#N/A</v>
      </c>
      <c r="J20" s="9">
        <v>175.0</v>
      </c>
      <c r="L20" s="5"/>
      <c r="M20" s="5"/>
      <c r="V20" s="13">
        <f t="shared" si="1"/>
        <v>320</v>
      </c>
    </row>
    <row r="21">
      <c r="A21" s="3" t="s">
        <v>18</v>
      </c>
      <c r="B21" s="24">
        <f t="shared" ref="B21:H21" si="4">B50</f>
        <v>30.75100901</v>
      </c>
      <c r="C21" s="24" t="str">
        <f t="shared" si="4"/>
        <v>#N/A</v>
      </c>
      <c r="D21" s="24">
        <f t="shared" si="4"/>
        <v>95.59552802</v>
      </c>
      <c r="E21" s="24" t="str">
        <f t="shared" si="4"/>
        <v>#N/A</v>
      </c>
      <c r="F21" s="24">
        <f t="shared" si="4"/>
        <v>95.59552802</v>
      </c>
      <c r="G21" s="24">
        <f t="shared" si="4"/>
        <v>30.75100901</v>
      </c>
      <c r="H21" s="24">
        <f t="shared" si="4"/>
        <v>116.9875343</v>
      </c>
      <c r="L21" s="5"/>
      <c r="M21" s="5"/>
      <c r="V21" s="13">
        <f t="shared" si="1"/>
        <v>340</v>
      </c>
    </row>
    <row r="24">
      <c r="J24" s="13">
        <f>12*60</f>
        <v>720</v>
      </c>
    </row>
    <row r="25">
      <c r="L25" s="5"/>
      <c r="M25" s="5"/>
    </row>
    <row r="26">
      <c r="A26" s="25" t="s">
        <v>19</v>
      </c>
      <c r="L26" s="5"/>
      <c r="M26" s="5"/>
      <c r="O26" s="25" t="s">
        <v>20</v>
      </c>
    </row>
    <row r="27">
      <c r="A27" s="25" t="s">
        <v>21</v>
      </c>
      <c r="B27" s="26">
        <f>B2*B13</f>
        <v>0</v>
      </c>
      <c r="C27" s="26">
        <f t="shared" ref="C27:H27" si="5">$B$2*C13</f>
        <v>171.52</v>
      </c>
      <c r="D27" s="26">
        <f t="shared" si="5"/>
        <v>0</v>
      </c>
      <c r="E27" s="26">
        <f t="shared" si="5"/>
        <v>176.64</v>
      </c>
      <c r="F27" s="26">
        <f t="shared" si="5"/>
        <v>0</v>
      </c>
      <c r="G27" s="26">
        <f t="shared" si="5"/>
        <v>181.76</v>
      </c>
      <c r="H27" s="26">
        <f t="shared" si="5"/>
        <v>0</v>
      </c>
      <c r="K27" s="14" t="s">
        <v>15</v>
      </c>
      <c r="L27" s="27" t="s">
        <v>22</v>
      </c>
      <c r="M27" s="27" t="s">
        <v>23</v>
      </c>
      <c r="O27" s="13">
        <f>60*hour(B3)+minute(B3)</f>
        <v>423</v>
      </c>
      <c r="P27" s="9" t="s">
        <v>24</v>
      </c>
    </row>
    <row r="28">
      <c r="A28" s="25" t="s">
        <v>25</v>
      </c>
      <c r="B28" s="26">
        <f t="shared" ref="B28:H28" si="6">3.6*(B11+B12/60)*B27</f>
        <v>0</v>
      </c>
      <c r="C28" s="26">
        <f t="shared" si="6"/>
        <v>668.928</v>
      </c>
      <c r="D28" s="26">
        <f t="shared" si="6"/>
        <v>0</v>
      </c>
      <c r="E28" s="26">
        <f t="shared" si="6"/>
        <v>635.904</v>
      </c>
      <c r="F28" s="26">
        <f t="shared" si="6"/>
        <v>0</v>
      </c>
      <c r="G28" s="26">
        <f t="shared" si="6"/>
        <v>1036.032</v>
      </c>
      <c r="H28" s="26">
        <f t="shared" si="6"/>
        <v>0</v>
      </c>
      <c r="K28" s="14">
        <v>0.4</v>
      </c>
      <c r="L28" s="27">
        <v>0.9</v>
      </c>
      <c r="M28" s="27">
        <f t="shared" ref="M28:M488" si="7">1-L28</f>
        <v>0.1</v>
      </c>
      <c r="O28" s="13">
        <f>1609/O27</f>
        <v>3.803782506</v>
      </c>
      <c r="P28" s="9" t="s">
        <v>26</v>
      </c>
      <c r="Q28" s="13">
        <f>O28*3600/1000</f>
        <v>13.69361702</v>
      </c>
      <c r="R28" s="9" t="s">
        <v>27</v>
      </c>
      <c r="S28" s="13">
        <f>0.205*O29</f>
        <v>16.27279325</v>
      </c>
      <c r="T28" s="9" t="s">
        <v>28</v>
      </c>
    </row>
    <row r="29">
      <c r="K29" s="14">
        <f t="shared" ref="K29:K66" si="8">K28+0.01</f>
        <v>0.41</v>
      </c>
      <c r="L29" s="27">
        <f t="shared" ref="L29:L37" si="9">L28+$R$56</f>
        <v>0.89</v>
      </c>
      <c r="M29" s="27">
        <f t="shared" si="7"/>
        <v>0.11</v>
      </c>
      <c r="O29" s="13">
        <f>B4/2.2046</f>
        <v>79.37947927</v>
      </c>
      <c r="P29" s="9" t="s">
        <v>29</v>
      </c>
      <c r="S29" s="13">
        <f>Q28/60</f>
        <v>0.2282269504</v>
      </c>
      <c r="T29" s="9" t="s">
        <v>30</v>
      </c>
    </row>
    <row r="30">
      <c r="A30" s="25" t="s">
        <v>31</v>
      </c>
      <c r="B30" s="7" t="str">
        <f t="array" ref="B30">xlookup(B13,K28:K488,M28:M488)</f>
        <v>#N/A</v>
      </c>
      <c r="C30" s="28">
        <f t="array" ref="C30">xlookup(C13,K28:K488,M28:M488)</f>
        <v>0.44</v>
      </c>
      <c r="D30" s="7" t="str">
        <f t="array" ref="D30">xlookup(D13,K28:K488,M28:M488)</f>
        <v>#N/A</v>
      </c>
      <c r="E30" s="28">
        <f t="array" ref="E30">xlookup(E13,K28:K488,M28:M488)</f>
        <v>0.48</v>
      </c>
      <c r="F30" s="7" t="str">
        <f t="array" ref="F30">XLOOKUP(F13,K28:K488,M28:M488)</f>
        <v>#N/A</v>
      </c>
      <c r="G30" s="28">
        <f t="array" ref="G30">xlookup(G13,K28:K488,M28:M488)</f>
        <v>0.52</v>
      </c>
      <c r="H30" s="7" t="str">
        <f t="array" ref="H30">xlookup(H13,K28:K488,M28:M488)</f>
        <v>#N/A</v>
      </c>
      <c r="K30" s="14">
        <f t="shared" si="8"/>
        <v>0.42</v>
      </c>
      <c r="L30" s="27">
        <f t="shared" si="9"/>
        <v>0.88</v>
      </c>
      <c r="M30" s="27">
        <f t="shared" si="7"/>
        <v>0.12</v>
      </c>
      <c r="O30" s="5">
        <f>S28*S29</f>
        <v>3.713889977</v>
      </c>
      <c r="P30" s="9" t="s">
        <v>32</v>
      </c>
    </row>
    <row r="31">
      <c r="A31" s="25" t="s">
        <v>33</v>
      </c>
      <c r="B31" s="7" t="str">
        <f t="shared" ref="B31:H31" si="10">1-B30</f>
        <v>#N/A</v>
      </c>
      <c r="C31" s="28">
        <f t="shared" si="10"/>
        <v>0.56</v>
      </c>
      <c r="D31" s="7" t="str">
        <f t="shared" si="10"/>
        <v>#N/A</v>
      </c>
      <c r="E31" s="28">
        <f t="shared" si="10"/>
        <v>0.52</v>
      </c>
      <c r="F31" s="7" t="str">
        <f t="shared" si="10"/>
        <v>#N/A</v>
      </c>
      <c r="G31" s="28">
        <f t="shared" si="10"/>
        <v>0.48</v>
      </c>
      <c r="H31" s="7" t="str">
        <f t="shared" si="10"/>
        <v>#N/A</v>
      </c>
      <c r="K31" s="14">
        <f t="shared" si="8"/>
        <v>0.43</v>
      </c>
      <c r="L31" s="27">
        <f t="shared" si="9"/>
        <v>0.87</v>
      </c>
      <c r="M31" s="27">
        <f t="shared" si="7"/>
        <v>0.13</v>
      </c>
    </row>
    <row r="32">
      <c r="A32" s="25"/>
      <c r="B32" s="26">
        <f t="shared" ref="B32:H32" si="11">0.239*B28</f>
        <v>0</v>
      </c>
      <c r="C32" s="26">
        <f t="shared" si="11"/>
        <v>159.873792</v>
      </c>
      <c r="D32" s="26">
        <f t="shared" si="11"/>
        <v>0</v>
      </c>
      <c r="E32" s="26">
        <f t="shared" si="11"/>
        <v>151.981056</v>
      </c>
      <c r="F32" s="26">
        <f t="shared" si="11"/>
        <v>0</v>
      </c>
      <c r="G32" s="26">
        <f t="shared" si="11"/>
        <v>247.611648</v>
      </c>
      <c r="H32" s="26">
        <f t="shared" si="11"/>
        <v>0</v>
      </c>
      <c r="K32" s="14">
        <f t="shared" si="8"/>
        <v>0.44</v>
      </c>
      <c r="L32" s="27">
        <f t="shared" si="9"/>
        <v>0.86</v>
      </c>
      <c r="M32" s="27">
        <f t="shared" si="7"/>
        <v>0.14</v>
      </c>
    </row>
    <row r="33">
      <c r="B33" s="26" t="str">
        <f t="shared" ref="B33:H33" si="12">B32*B31</f>
        <v>#N/A</v>
      </c>
      <c r="C33" s="26">
        <f t="shared" si="12"/>
        <v>89.52932352</v>
      </c>
      <c r="D33" s="26" t="str">
        <f t="shared" si="12"/>
        <v>#N/A</v>
      </c>
      <c r="E33" s="26">
        <f t="shared" si="12"/>
        <v>79.03014912</v>
      </c>
      <c r="F33" s="26" t="str">
        <f t="shared" si="12"/>
        <v>#N/A</v>
      </c>
      <c r="G33" s="26">
        <f t="shared" si="12"/>
        <v>118.853591</v>
      </c>
      <c r="H33" s="26" t="str">
        <f t="shared" si="12"/>
        <v>#N/A</v>
      </c>
      <c r="K33" s="14">
        <f t="shared" si="8"/>
        <v>0.45</v>
      </c>
      <c r="L33" s="27">
        <f t="shared" si="9"/>
        <v>0.85</v>
      </c>
      <c r="M33" s="27">
        <f t="shared" si="7"/>
        <v>0.15</v>
      </c>
      <c r="O33" s="25" t="s">
        <v>34</v>
      </c>
    </row>
    <row r="34">
      <c r="B34" s="7" t="str">
        <f t="shared" ref="B34:H34" si="13">B32-B33</f>
        <v>#N/A</v>
      </c>
      <c r="C34" s="26">
        <f t="shared" si="13"/>
        <v>70.34446848</v>
      </c>
      <c r="D34" s="7" t="str">
        <f t="shared" si="13"/>
        <v>#N/A</v>
      </c>
      <c r="E34" s="26">
        <f t="shared" si="13"/>
        <v>72.95090688</v>
      </c>
      <c r="F34" s="7" t="str">
        <f t="shared" si="13"/>
        <v>#N/A</v>
      </c>
      <c r="G34" s="26">
        <f t="shared" si="13"/>
        <v>128.758057</v>
      </c>
      <c r="H34" s="7" t="str">
        <f t="shared" si="13"/>
        <v>#N/A</v>
      </c>
      <c r="K34" s="14">
        <f t="shared" si="8"/>
        <v>0.46</v>
      </c>
      <c r="L34" s="27">
        <f t="shared" si="9"/>
        <v>0.84</v>
      </c>
      <c r="M34" s="27">
        <f t="shared" si="7"/>
        <v>0.16</v>
      </c>
    </row>
    <row r="35">
      <c r="A35" s="25" t="s">
        <v>35</v>
      </c>
      <c r="B35" s="26">
        <f t="shared" ref="B35:H35" si="14">B32/0.225</f>
        <v>0</v>
      </c>
      <c r="C35" s="26">
        <f t="shared" si="14"/>
        <v>710.5501867</v>
      </c>
      <c r="D35" s="26">
        <f t="shared" si="14"/>
        <v>0</v>
      </c>
      <c r="E35" s="26">
        <f t="shared" si="14"/>
        <v>675.47136</v>
      </c>
      <c r="F35" s="26">
        <f t="shared" si="14"/>
        <v>0</v>
      </c>
      <c r="G35" s="26">
        <f t="shared" si="14"/>
        <v>1100.496213</v>
      </c>
      <c r="H35" s="26">
        <f t="shared" si="14"/>
        <v>0</v>
      </c>
      <c r="K35" s="14">
        <f t="shared" si="8"/>
        <v>0.47</v>
      </c>
      <c r="L35" s="27">
        <f t="shared" si="9"/>
        <v>0.83</v>
      </c>
      <c r="M35" s="27">
        <f t="shared" si="7"/>
        <v>0.17</v>
      </c>
    </row>
    <row r="36">
      <c r="A36" s="25"/>
      <c r="B36" s="26" t="str">
        <f t="shared" ref="B36:H36" si="15">B35*B30</f>
        <v>#N/A</v>
      </c>
      <c r="C36" s="26">
        <f t="shared" si="15"/>
        <v>312.6420821</v>
      </c>
      <c r="D36" s="26" t="str">
        <f t="shared" si="15"/>
        <v>#N/A</v>
      </c>
      <c r="E36" s="26">
        <f t="shared" si="15"/>
        <v>324.2262528</v>
      </c>
      <c r="F36" s="26" t="str">
        <f t="shared" si="15"/>
        <v>#N/A</v>
      </c>
      <c r="G36" s="26">
        <f t="shared" si="15"/>
        <v>572.2580309</v>
      </c>
      <c r="H36" s="26" t="str">
        <f t="shared" si="15"/>
        <v>#N/A</v>
      </c>
      <c r="K36" s="14">
        <f t="shared" si="8"/>
        <v>0.48</v>
      </c>
      <c r="L36" s="27">
        <f t="shared" si="9"/>
        <v>0.82</v>
      </c>
      <c r="M36" s="27">
        <f t="shared" si="7"/>
        <v>0.18</v>
      </c>
    </row>
    <row r="37">
      <c r="A37" s="7"/>
      <c r="B37" s="26">
        <f t="shared" ref="B37:H37" si="16">B35-B32</f>
        <v>0</v>
      </c>
      <c r="C37" s="26">
        <f t="shared" si="16"/>
        <v>550.6763947</v>
      </c>
      <c r="D37" s="26">
        <f t="shared" si="16"/>
        <v>0</v>
      </c>
      <c r="E37" s="26">
        <f t="shared" si="16"/>
        <v>523.490304</v>
      </c>
      <c r="F37" s="26">
        <f t="shared" si="16"/>
        <v>0</v>
      </c>
      <c r="G37" s="26">
        <f t="shared" si="16"/>
        <v>852.8845653</v>
      </c>
      <c r="H37" s="26">
        <f t="shared" si="16"/>
        <v>0</v>
      </c>
      <c r="K37" s="14">
        <f t="shared" si="8"/>
        <v>0.49</v>
      </c>
      <c r="L37" s="27">
        <f t="shared" si="9"/>
        <v>0.81</v>
      </c>
      <c r="M37" s="27">
        <f t="shared" si="7"/>
        <v>0.19</v>
      </c>
    </row>
    <row r="38">
      <c r="A38" s="25" t="s">
        <v>36</v>
      </c>
      <c r="B38" s="26" t="str">
        <f t="shared" ref="B38:H38" si="17">B37*B30</f>
        <v>#N/A</v>
      </c>
      <c r="C38" s="26">
        <f t="shared" si="17"/>
        <v>242.2976137</v>
      </c>
      <c r="D38" s="26" t="str">
        <f t="shared" si="17"/>
        <v>#N/A</v>
      </c>
      <c r="E38" s="26">
        <f t="shared" si="17"/>
        <v>251.2753459</v>
      </c>
      <c r="F38" s="26" t="str">
        <f t="shared" si="17"/>
        <v>#N/A</v>
      </c>
      <c r="G38" s="26">
        <f t="shared" si="17"/>
        <v>443.499974</v>
      </c>
      <c r="H38" s="26" t="str">
        <f t="shared" si="17"/>
        <v>#N/A</v>
      </c>
      <c r="K38" s="14">
        <f t="shared" si="8"/>
        <v>0.5</v>
      </c>
      <c r="L38" s="27">
        <v>0.8</v>
      </c>
      <c r="M38" s="27">
        <f t="shared" si="7"/>
        <v>0.2</v>
      </c>
    </row>
    <row r="39">
      <c r="A39" s="25" t="s">
        <v>37</v>
      </c>
      <c r="B39" s="26" t="str">
        <f t="shared" ref="B39:H39" si="18">B38/4</f>
        <v>#N/A</v>
      </c>
      <c r="C39" s="26">
        <f t="shared" si="18"/>
        <v>60.57440341</v>
      </c>
      <c r="D39" s="26" t="str">
        <f t="shared" si="18"/>
        <v>#N/A</v>
      </c>
      <c r="E39" s="26">
        <f t="shared" si="18"/>
        <v>62.81883648</v>
      </c>
      <c r="F39" s="26" t="str">
        <f t="shared" si="18"/>
        <v>#N/A</v>
      </c>
      <c r="G39" s="26">
        <f t="shared" si="18"/>
        <v>110.8749935</v>
      </c>
      <c r="H39" s="26" t="str">
        <f t="shared" si="18"/>
        <v>#N/A</v>
      </c>
      <c r="K39" s="14">
        <f t="shared" si="8"/>
        <v>0.51</v>
      </c>
      <c r="L39" s="27">
        <f t="shared" ref="L39:L42" si="20">L38+$R$62</f>
        <v>0.78</v>
      </c>
      <c r="M39" s="27">
        <f t="shared" si="7"/>
        <v>0.22</v>
      </c>
    </row>
    <row r="40">
      <c r="A40" s="7"/>
      <c r="B40" s="26" t="str">
        <f t="shared" ref="B40:H40" si="19">B34/4</f>
        <v>#N/A</v>
      </c>
      <c r="C40" s="26">
        <f t="shared" si="19"/>
        <v>17.58611712</v>
      </c>
      <c r="D40" s="26" t="str">
        <f t="shared" si="19"/>
        <v>#N/A</v>
      </c>
      <c r="E40" s="26">
        <f t="shared" si="19"/>
        <v>18.23772672</v>
      </c>
      <c r="F40" s="26" t="str">
        <f t="shared" si="19"/>
        <v>#N/A</v>
      </c>
      <c r="G40" s="26">
        <f t="shared" si="19"/>
        <v>32.18951424</v>
      </c>
      <c r="H40" s="26" t="str">
        <f t="shared" si="19"/>
        <v>#N/A</v>
      </c>
      <c r="K40" s="14">
        <f t="shared" si="8"/>
        <v>0.52</v>
      </c>
      <c r="L40" s="27">
        <f t="shared" si="20"/>
        <v>0.76</v>
      </c>
      <c r="M40" s="27">
        <f t="shared" si="7"/>
        <v>0.24</v>
      </c>
    </row>
    <row r="41">
      <c r="A41" s="11" t="s">
        <v>38</v>
      </c>
      <c r="B41" s="7" t="str">
        <f t="shared" ref="B41:H41" si="21">B39+B40</f>
        <v>#N/A</v>
      </c>
      <c r="C41" s="26">
        <f t="shared" si="21"/>
        <v>78.16052053</v>
      </c>
      <c r="D41" s="7" t="str">
        <f t="shared" si="21"/>
        <v>#N/A</v>
      </c>
      <c r="E41" s="26">
        <f t="shared" si="21"/>
        <v>81.0565632</v>
      </c>
      <c r="F41" s="7" t="str">
        <f t="shared" si="21"/>
        <v>#N/A</v>
      </c>
      <c r="G41" s="26">
        <f t="shared" si="21"/>
        <v>143.0645077</v>
      </c>
      <c r="H41" s="7" t="str">
        <f t="shared" si="21"/>
        <v>#N/A</v>
      </c>
      <c r="K41" s="14">
        <f t="shared" si="8"/>
        <v>0.53</v>
      </c>
      <c r="L41" s="27">
        <f t="shared" si="20"/>
        <v>0.74</v>
      </c>
      <c r="M41" s="27">
        <f t="shared" si="7"/>
        <v>0.26</v>
      </c>
    </row>
    <row r="42">
      <c r="K42" s="14">
        <f t="shared" si="8"/>
        <v>0.54</v>
      </c>
      <c r="L42" s="27">
        <f t="shared" si="20"/>
        <v>0.72</v>
      </c>
      <c r="M42" s="27">
        <f t="shared" si="7"/>
        <v>0.28</v>
      </c>
    </row>
    <row r="43">
      <c r="K43" s="14">
        <f t="shared" si="8"/>
        <v>0.55</v>
      </c>
      <c r="L43" s="27">
        <v>0.7</v>
      </c>
      <c r="M43" s="27">
        <f t="shared" si="7"/>
        <v>0.3</v>
      </c>
    </row>
    <row r="44">
      <c r="A44" s="25" t="s">
        <v>39</v>
      </c>
      <c r="K44" s="14">
        <f t="shared" si="8"/>
        <v>0.56</v>
      </c>
      <c r="L44" s="27">
        <f t="shared" ref="L44:L52" si="22">L43+$R$69</f>
        <v>0.69</v>
      </c>
      <c r="M44" s="27">
        <f t="shared" si="7"/>
        <v>0.31</v>
      </c>
    </row>
    <row r="45">
      <c r="A45" s="25" t="s">
        <v>40</v>
      </c>
      <c r="B45" s="29">
        <f>O30*B17</f>
        <v>2.562584084</v>
      </c>
      <c r="C45" s="29">
        <f>O30*C17</f>
        <v>0</v>
      </c>
      <c r="D45" s="29">
        <f>O30*D17</f>
        <v>2.896834182</v>
      </c>
      <c r="E45" s="29">
        <f>O30*E17</f>
        <v>0</v>
      </c>
      <c r="F45" s="29">
        <f>O30*F17</f>
        <v>2.896834182</v>
      </c>
      <c r="G45" s="29">
        <f>O30*G17</f>
        <v>2.562584084</v>
      </c>
      <c r="H45" s="29">
        <f>O30*H17</f>
        <v>2.971111982</v>
      </c>
      <c r="K45" s="14">
        <f t="shared" si="8"/>
        <v>0.57</v>
      </c>
      <c r="L45" s="27">
        <f t="shared" si="22"/>
        <v>0.68</v>
      </c>
      <c r="M45" s="27">
        <f t="shared" si="7"/>
        <v>0.32</v>
      </c>
    </row>
    <row r="46">
      <c r="A46" s="25" t="s">
        <v>41</v>
      </c>
      <c r="B46" s="29">
        <f t="shared" ref="B46:H46" si="23">B45*5</f>
        <v>12.81292042</v>
      </c>
      <c r="C46" s="29">
        <f t="shared" si="23"/>
        <v>0</v>
      </c>
      <c r="D46" s="29">
        <f t="shared" si="23"/>
        <v>14.48417091</v>
      </c>
      <c r="E46" s="29">
        <f t="shared" si="23"/>
        <v>0</v>
      </c>
      <c r="F46" s="29">
        <f t="shared" si="23"/>
        <v>14.48417091</v>
      </c>
      <c r="G46" s="29">
        <f t="shared" si="23"/>
        <v>12.81292042</v>
      </c>
      <c r="H46" s="29">
        <f t="shared" si="23"/>
        <v>14.85555991</v>
      </c>
      <c r="K46" s="14">
        <f t="shared" si="8"/>
        <v>0.58</v>
      </c>
      <c r="L46" s="27">
        <f t="shared" si="22"/>
        <v>0.67</v>
      </c>
      <c r="M46" s="27">
        <f t="shared" si="7"/>
        <v>0.33</v>
      </c>
    </row>
    <row r="47">
      <c r="A47" s="25" t="s">
        <v>42</v>
      </c>
      <c r="B47" s="26">
        <f t="shared" ref="B47:H47" si="24">(B15*60+B16)*B46</f>
        <v>256.2584084</v>
      </c>
      <c r="C47" s="26">
        <f t="shared" si="24"/>
        <v>0</v>
      </c>
      <c r="D47" s="26">
        <f t="shared" si="24"/>
        <v>579.3668365</v>
      </c>
      <c r="E47" s="26">
        <f t="shared" si="24"/>
        <v>0</v>
      </c>
      <c r="F47" s="26">
        <f t="shared" si="24"/>
        <v>579.3668365</v>
      </c>
      <c r="G47" s="26">
        <f t="shared" si="24"/>
        <v>256.2584084</v>
      </c>
      <c r="H47" s="26">
        <f t="shared" si="24"/>
        <v>668.5001959</v>
      </c>
      <c r="K47" s="14">
        <f t="shared" si="8"/>
        <v>0.59</v>
      </c>
      <c r="L47" s="27">
        <f t="shared" si="22"/>
        <v>0.66</v>
      </c>
      <c r="M47" s="27">
        <f t="shared" si="7"/>
        <v>0.34</v>
      </c>
    </row>
    <row r="48">
      <c r="A48" s="25" t="s">
        <v>43</v>
      </c>
      <c r="B48" s="28">
        <f t="array" ref="B48">xlookup(B17,K22:K483,M22:M483)</f>
        <v>0.48</v>
      </c>
      <c r="C48" s="7" t="str">
        <f t="shared" ref="C48:H48" si="25">xlookup(C17,$K$22:$K$483,$M$22:$M$483)</f>
        <v>#N/A</v>
      </c>
      <c r="D48" s="28">
        <f t="shared" si="25"/>
        <v>0.66</v>
      </c>
      <c r="E48" s="7" t="str">
        <f t="shared" si="25"/>
        <v>#N/A</v>
      </c>
      <c r="F48" s="28">
        <f t="shared" si="25"/>
        <v>0.66</v>
      </c>
      <c r="G48" s="28">
        <f t="shared" si="25"/>
        <v>0.48</v>
      </c>
      <c r="H48" s="28">
        <f t="shared" si="25"/>
        <v>0.7</v>
      </c>
      <c r="K48" s="14">
        <f t="shared" si="8"/>
        <v>0.6</v>
      </c>
      <c r="L48" s="27">
        <f t="shared" si="22"/>
        <v>0.65</v>
      </c>
      <c r="M48" s="27">
        <f t="shared" si="7"/>
        <v>0.35</v>
      </c>
    </row>
    <row r="49">
      <c r="A49" s="25" t="s">
        <v>44</v>
      </c>
      <c r="B49" s="26">
        <f t="shared" ref="B49:H49" si="26">B47*B48</f>
        <v>123.004036</v>
      </c>
      <c r="C49" s="26" t="str">
        <f t="shared" si="26"/>
        <v>#N/A</v>
      </c>
      <c r="D49" s="26">
        <f t="shared" si="26"/>
        <v>382.3821121</v>
      </c>
      <c r="E49" s="26" t="str">
        <f t="shared" si="26"/>
        <v>#N/A</v>
      </c>
      <c r="F49" s="26">
        <f t="shared" si="26"/>
        <v>382.3821121</v>
      </c>
      <c r="G49" s="26">
        <f t="shared" si="26"/>
        <v>123.004036</v>
      </c>
      <c r="H49" s="26">
        <f t="shared" si="26"/>
        <v>467.9501371</v>
      </c>
      <c r="K49" s="14">
        <f t="shared" si="8"/>
        <v>0.61</v>
      </c>
      <c r="L49" s="27">
        <f t="shared" si="22"/>
        <v>0.64</v>
      </c>
      <c r="M49" s="27">
        <f t="shared" si="7"/>
        <v>0.36</v>
      </c>
    </row>
    <row r="50">
      <c r="A50" s="25" t="s">
        <v>45</v>
      </c>
      <c r="B50" s="26">
        <f t="shared" ref="B50:H50" si="27">B49/4</f>
        <v>30.75100901</v>
      </c>
      <c r="C50" s="26" t="str">
        <f t="shared" si="27"/>
        <v>#N/A</v>
      </c>
      <c r="D50" s="26">
        <f t="shared" si="27"/>
        <v>95.59552802</v>
      </c>
      <c r="E50" s="26" t="str">
        <f t="shared" si="27"/>
        <v>#N/A</v>
      </c>
      <c r="F50" s="26">
        <f t="shared" si="27"/>
        <v>95.59552802</v>
      </c>
      <c r="G50" s="26">
        <f t="shared" si="27"/>
        <v>30.75100901</v>
      </c>
      <c r="H50" s="26">
        <f t="shared" si="27"/>
        <v>116.9875343</v>
      </c>
      <c r="K50" s="14">
        <f t="shared" si="8"/>
        <v>0.62</v>
      </c>
      <c r="L50" s="27">
        <f t="shared" si="22"/>
        <v>0.63</v>
      </c>
      <c r="M50" s="27">
        <f t="shared" si="7"/>
        <v>0.37</v>
      </c>
    </row>
    <row r="51">
      <c r="K51" s="14">
        <f t="shared" si="8"/>
        <v>0.63</v>
      </c>
      <c r="L51" s="27">
        <f t="shared" si="22"/>
        <v>0.62</v>
      </c>
      <c r="M51" s="27">
        <f t="shared" si="7"/>
        <v>0.38</v>
      </c>
    </row>
    <row r="52">
      <c r="A52" s="25" t="s">
        <v>46</v>
      </c>
      <c r="K52" s="14">
        <f t="shared" si="8"/>
        <v>0.64</v>
      </c>
      <c r="L52" s="27">
        <f t="shared" si="22"/>
        <v>0.61</v>
      </c>
      <c r="M52" s="27">
        <f t="shared" si="7"/>
        <v>0.39</v>
      </c>
    </row>
    <row r="53">
      <c r="A53" s="11" t="s">
        <v>47</v>
      </c>
      <c r="B53" s="7">
        <f t="shared" ref="B53:H53" si="28">B7/100</f>
        <v>25</v>
      </c>
      <c r="C53" s="7">
        <f t="shared" si="28"/>
        <v>0</v>
      </c>
      <c r="D53" s="7">
        <f t="shared" si="28"/>
        <v>0</v>
      </c>
      <c r="E53" s="7">
        <f t="shared" si="28"/>
        <v>26</v>
      </c>
      <c r="F53" s="7">
        <f t="shared" si="28"/>
        <v>0</v>
      </c>
      <c r="G53" s="7">
        <f t="shared" si="28"/>
        <v>0</v>
      </c>
      <c r="H53" s="7">
        <f t="shared" si="28"/>
        <v>0</v>
      </c>
      <c r="K53" s="14">
        <f t="shared" si="8"/>
        <v>0.65</v>
      </c>
      <c r="L53" s="27">
        <v>0.6</v>
      </c>
      <c r="M53" s="27">
        <f t="shared" si="7"/>
        <v>0.4</v>
      </c>
    </row>
    <row r="54">
      <c r="A54" s="11" t="s">
        <v>48</v>
      </c>
      <c r="B54" s="7">
        <f t="shared" ref="B54:H54" si="29">if(B8="Easy/Recovery", 6, if(B8="Steady/Aerobic",8,if(B8="Tempo",9.5,11)))</f>
        <v>9.5</v>
      </c>
      <c r="C54" s="7">
        <f t="shared" si="29"/>
        <v>11</v>
      </c>
      <c r="D54" s="7">
        <f t="shared" si="29"/>
        <v>11</v>
      </c>
      <c r="E54" s="7">
        <f t="shared" si="29"/>
        <v>11</v>
      </c>
      <c r="F54" s="7">
        <f t="shared" si="29"/>
        <v>11</v>
      </c>
      <c r="G54" s="7">
        <f t="shared" si="29"/>
        <v>11</v>
      </c>
      <c r="H54" s="7">
        <f t="shared" si="29"/>
        <v>11</v>
      </c>
      <c r="K54" s="14">
        <f t="shared" si="8"/>
        <v>0.66</v>
      </c>
      <c r="L54" s="27">
        <f t="shared" ref="L54:L57" si="31">L53+$R$78</f>
        <v>0.58</v>
      </c>
      <c r="M54" s="27">
        <f t="shared" si="7"/>
        <v>0.42</v>
      </c>
    </row>
    <row r="55">
      <c r="A55" s="11" t="s">
        <v>49</v>
      </c>
      <c r="B55" s="7">
        <f t="shared" ref="B55:H55" si="30">if(B9 = "Faster than 1:20s",1.25,if(B9="1:20-1:30",1.42,if(B9="1:30-1:45",1.63,2))) </f>
        <v>1.42</v>
      </c>
      <c r="C55" s="7">
        <f t="shared" si="30"/>
        <v>2</v>
      </c>
      <c r="D55" s="7">
        <f t="shared" si="30"/>
        <v>2</v>
      </c>
      <c r="E55" s="7">
        <f t="shared" si="30"/>
        <v>1.42</v>
      </c>
      <c r="F55" s="7">
        <f t="shared" si="30"/>
        <v>2</v>
      </c>
      <c r="G55" s="7">
        <f t="shared" si="30"/>
        <v>2</v>
      </c>
      <c r="H55" s="7">
        <f t="shared" si="30"/>
        <v>2</v>
      </c>
      <c r="K55" s="14">
        <f t="shared" si="8"/>
        <v>0.67</v>
      </c>
      <c r="L55" s="27">
        <f t="shared" si="31"/>
        <v>0.56</v>
      </c>
      <c r="M55" s="27">
        <f t="shared" si="7"/>
        <v>0.44</v>
      </c>
    </row>
    <row r="56">
      <c r="A56" s="11" t="s">
        <v>50</v>
      </c>
      <c r="B56" s="29">
        <f t="shared" ref="B56:H56" si="32">B54*($B$4/2.2046)*0.0175</f>
        <v>13.19683843</v>
      </c>
      <c r="C56" s="29">
        <f t="shared" si="32"/>
        <v>15.28054976</v>
      </c>
      <c r="D56" s="29">
        <f t="shared" si="32"/>
        <v>15.28054976</v>
      </c>
      <c r="E56" s="29">
        <f t="shared" si="32"/>
        <v>15.28054976</v>
      </c>
      <c r="F56" s="29">
        <f t="shared" si="32"/>
        <v>15.28054976</v>
      </c>
      <c r="G56" s="29">
        <f t="shared" si="32"/>
        <v>15.28054976</v>
      </c>
      <c r="H56" s="29">
        <f t="shared" si="32"/>
        <v>15.28054976</v>
      </c>
      <c r="K56" s="14">
        <f t="shared" si="8"/>
        <v>0.68</v>
      </c>
      <c r="L56" s="27">
        <f t="shared" si="31"/>
        <v>0.54</v>
      </c>
      <c r="M56" s="27">
        <f t="shared" si="7"/>
        <v>0.46</v>
      </c>
      <c r="Q56" s="9" t="s">
        <v>51</v>
      </c>
      <c r="R56" s="9">
        <v>-0.01</v>
      </c>
    </row>
    <row r="57">
      <c r="A57" s="11" t="s">
        <v>52</v>
      </c>
      <c r="B57" s="7">
        <f t="shared" ref="B57:H57" si="33">B53*B55</f>
        <v>35.5</v>
      </c>
      <c r="C57" s="7">
        <f t="shared" si="33"/>
        <v>0</v>
      </c>
      <c r="D57" s="7">
        <f t="shared" si="33"/>
        <v>0</v>
      </c>
      <c r="E57" s="7">
        <f t="shared" si="33"/>
        <v>36.92</v>
      </c>
      <c r="F57" s="7">
        <f t="shared" si="33"/>
        <v>0</v>
      </c>
      <c r="G57" s="7">
        <f t="shared" si="33"/>
        <v>0</v>
      </c>
      <c r="H57" s="7">
        <f t="shared" si="33"/>
        <v>0</v>
      </c>
      <c r="K57" s="14">
        <f t="shared" si="8"/>
        <v>0.69</v>
      </c>
      <c r="L57" s="27">
        <f t="shared" si="31"/>
        <v>0.52</v>
      </c>
      <c r="M57" s="27">
        <f t="shared" si="7"/>
        <v>0.48</v>
      </c>
    </row>
    <row r="58">
      <c r="A58" s="11" t="s">
        <v>53</v>
      </c>
      <c r="B58" s="30">
        <f t="shared" ref="B58:H58" si="34">B56*B57</f>
        <v>468.4877642</v>
      </c>
      <c r="C58" s="30">
        <f t="shared" si="34"/>
        <v>0</v>
      </c>
      <c r="D58" s="30">
        <f t="shared" si="34"/>
        <v>0</v>
      </c>
      <c r="E58" s="30">
        <f t="shared" si="34"/>
        <v>564.1578971</v>
      </c>
      <c r="F58" s="30">
        <f t="shared" si="34"/>
        <v>0</v>
      </c>
      <c r="G58" s="30">
        <f t="shared" si="34"/>
        <v>0</v>
      </c>
      <c r="H58" s="30">
        <f t="shared" si="34"/>
        <v>0</v>
      </c>
      <c r="K58" s="14">
        <f t="shared" si="8"/>
        <v>0.7</v>
      </c>
      <c r="L58" s="27">
        <v>0.5</v>
      </c>
      <c r="M58" s="27">
        <f t="shared" si="7"/>
        <v>0.5</v>
      </c>
    </row>
    <row r="59">
      <c r="A59" s="11" t="s">
        <v>54</v>
      </c>
      <c r="B59" s="7">
        <f t="shared" ref="B59:H59" si="35">round(B58*0.85/4,0)</f>
        <v>100</v>
      </c>
      <c r="C59" s="7">
        <f t="shared" si="35"/>
        <v>0</v>
      </c>
      <c r="D59" s="7">
        <f t="shared" si="35"/>
        <v>0</v>
      </c>
      <c r="E59" s="7">
        <f t="shared" si="35"/>
        <v>120</v>
      </c>
      <c r="F59" s="7">
        <f t="shared" si="35"/>
        <v>0</v>
      </c>
      <c r="G59" s="7">
        <f t="shared" si="35"/>
        <v>0</v>
      </c>
      <c r="H59" s="7">
        <f t="shared" si="35"/>
        <v>0</v>
      </c>
      <c r="K59" s="14">
        <f t="shared" si="8"/>
        <v>0.71</v>
      </c>
      <c r="L59" s="27">
        <f t="shared" ref="L59:L62" si="36">L58+$R$84</f>
        <v>0.48</v>
      </c>
      <c r="M59" s="27">
        <f t="shared" si="7"/>
        <v>0.52</v>
      </c>
    </row>
    <row r="60">
      <c r="K60" s="14">
        <f t="shared" si="8"/>
        <v>0.72</v>
      </c>
      <c r="L60" s="27">
        <f t="shared" si="36"/>
        <v>0.46</v>
      </c>
      <c r="M60" s="27">
        <f t="shared" si="7"/>
        <v>0.54</v>
      </c>
    </row>
    <row r="61">
      <c r="K61" s="14">
        <f t="shared" si="8"/>
        <v>0.73</v>
      </c>
      <c r="L61" s="27">
        <f t="shared" si="36"/>
        <v>0.44</v>
      </c>
      <c r="M61" s="27">
        <f t="shared" si="7"/>
        <v>0.56</v>
      </c>
    </row>
    <row r="62">
      <c r="K62" s="14">
        <f t="shared" si="8"/>
        <v>0.74</v>
      </c>
      <c r="L62" s="27">
        <f t="shared" si="36"/>
        <v>0.42</v>
      </c>
      <c r="M62" s="27">
        <f t="shared" si="7"/>
        <v>0.58</v>
      </c>
      <c r="Q62" s="9" t="s">
        <v>51</v>
      </c>
      <c r="R62" s="9">
        <v>-0.02</v>
      </c>
    </row>
    <row r="63">
      <c r="K63" s="14">
        <f t="shared" si="8"/>
        <v>0.75</v>
      </c>
      <c r="L63" s="27">
        <v>0.4</v>
      </c>
      <c r="M63" s="27">
        <f t="shared" si="7"/>
        <v>0.6</v>
      </c>
    </row>
    <row r="64">
      <c r="K64" s="14">
        <f t="shared" si="8"/>
        <v>0.76</v>
      </c>
      <c r="L64" s="27">
        <f t="shared" ref="L64:L67" si="37">L63+$R$89</f>
        <v>0.38</v>
      </c>
      <c r="M64" s="27">
        <f t="shared" si="7"/>
        <v>0.62</v>
      </c>
    </row>
    <row r="65">
      <c r="K65" s="14">
        <f t="shared" si="8"/>
        <v>0.77</v>
      </c>
      <c r="L65" s="27">
        <f t="shared" si="37"/>
        <v>0.36</v>
      </c>
      <c r="M65" s="27">
        <f t="shared" si="7"/>
        <v>0.64</v>
      </c>
    </row>
    <row r="66">
      <c r="K66" s="14">
        <f t="shared" si="8"/>
        <v>0.78</v>
      </c>
      <c r="L66" s="27">
        <f t="shared" si="37"/>
        <v>0.34</v>
      </c>
      <c r="M66" s="27">
        <f t="shared" si="7"/>
        <v>0.66</v>
      </c>
    </row>
    <row r="67">
      <c r="K67" s="31">
        <v>0.79</v>
      </c>
      <c r="L67" s="27">
        <f t="shared" si="37"/>
        <v>0.32</v>
      </c>
      <c r="M67" s="27">
        <f t="shared" si="7"/>
        <v>0.68</v>
      </c>
    </row>
    <row r="68">
      <c r="K68" s="31">
        <v>0.8</v>
      </c>
      <c r="L68" s="27">
        <v>0.3</v>
      </c>
      <c r="M68" s="27">
        <f t="shared" si="7"/>
        <v>0.7</v>
      </c>
    </row>
    <row r="69">
      <c r="K69" s="14">
        <f t="shared" ref="K69:K74" si="38">K68+0.01</f>
        <v>0.81</v>
      </c>
      <c r="L69" s="27">
        <f t="shared" ref="L69:L72" si="39">L68+$R$94</f>
        <v>0.28</v>
      </c>
      <c r="M69" s="27">
        <f t="shared" si="7"/>
        <v>0.72</v>
      </c>
      <c r="Q69" s="9" t="s">
        <v>51</v>
      </c>
      <c r="R69" s="9">
        <v>-0.01</v>
      </c>
    </row>
    <row r="70">
      <c r="K70" s="14">
        <f t="shared" si="38"/>
        <v>0.82</v>
      </c>
      <c r="L70" s="27">
        <f t="shared" si="39"/>
        <v>0.26</v>
      </c>
      <c r="M70" s="27">
        <f t="shared" si="7"/>
        <v>0.74</v>
      </c>
    </row>
    <row r="71">
      <c r="K71" s="14">
        <f t="shared" si="38"/>
        <v>0.83</v>
      </c>
      <c r="L71" s="27">
        <f t="shared" si="39"/>
        <v>0.24</v>
      </c>
      <c r="M71" s="27">
        <f t="shared" si="7"/>
        <v>0.76</v>
      </c>
    </row>
    <row r="72">
      <c r="K72" s="14">
        <f t="shared" si="38"/>
        <v>0.84</v>
      </c>
      <c r="L72" s="27">
        <f t="shared" si="39"/>
        <v>0.22</v>
      </c>
      <c r="M72" s="27">
        <f t="shared" si="7"/>
        <v>0.78</v>
      </c>
    </row>
    <row r="73">
      <c r="K73" s="14">
        <f t="shared" si="38"/>
        <v>0.85</v>
      </c>
      <c r="L73" s="27">
        <v>0.2</v>
      </c>
      <c r="M73" s="27">
        <f t="shared" si="7"/>
        <v>0.8</v>
      </c>
    </row>
    <row r="74">
      <c r="K74" s="14">
        <f t="shared" si="38"/>
        <v>0.86</v>
      </c>
      <c r="L74" s="27">
        <f t="shared" ref="L74:L77" si="40">L73+$R$99</f>
        <v>0.18</v>
      </c>
      <c r="M74" s="27">
        <f t="shared" si="7"/>
        <v>0.82</v>
      </c>
    </row>
    <row r="75">
      <c r="K75" s="31">
        <v>0.87</v>
      </c>
      <c r="L75" s="27">
        <f t="shared" si="40"/>
        <v>0.16</v>
      </c>
      <c r="M75" s="27">
        <f t="shared" si="7"/>
        <v>0.84</v>
      </c>
    </row>
    <row r="76">
      <c r="K76" s="14">
        <f t="shared" ref="K76:K488" si="41">K75+0.01</f>
        <v>0.88</v>
      </c>
      <c r="L76" s="27">
        <f t="shared" si="40"/>
        <v>0.14</v>
      </c>
      <c r="M76" s="27">
        <f t="shared" si="7"/>
        <v>0.86</v>
      </c>
    </row>
    <row r="77">
      <c r="K77" s="14">
        <f t="shared" si="41"/>
        <v>0.89</v>
      </c>
      <c r="L77" s="27">
        <f t="shared" si="40"/>
        <v>0.12</v>
      </c>
      <c r="M77" s="27">
        <f t="shared" si="7"/>
        <v>0.88</v>
      </c>
    </row>
    <row r="78">
      <c r="K78" s="14">
        <f t="shared" si="41"/>
        <v>0.9</v>
      </c>
      <c r="L78" s="27">
        <v>0.1</v>
      </c>
      <c r="M78" s="27">
        <f t="shared" si="7"/>
        <v>0.9</v>
      </c>
      <c r="Q78" s="9" t="s">
        <v>51</v>
      </c>
      <c r="R78" s="9">
        <v>-0.02</v>
      </c>
    </row>
    <row r="79">
      <c r="K79" s="14">
        <f t="shared" si="41"/>
        <v>0.91</v>
      </c>
      <c r="L79" s="27">
        <f t="shared" ref="L79:L92" si="42">L78+$R$109</f>
        <v>0.096667</v>
      </c>
      <c r="M79" s="27">
        <f t="shared" si="7"/>
        <v>0.903333</v>
      </c>
    </row>
    <row r="80">
      <c r="K80" s="14">
        <f t="shared" si="41"/>
        <v>0.92</v>
      </c>
      <c r="L80" s="27">
        <f t="shared" si="42"/>
        <v>0.093334</v>
      </c>
      <c r="M80" s="27">
        <f t="shared" si="7"/>
        <v>0.906666</v>
      </c>
    </row>
    <row r="81">
      <c r="K81" s="14">
        <f t="shared" si="41"/>
        <v>0.93</v>
      </c>
      <c r="L81" s="27">
        <f t="shared" si="42"/>
        <v>0.090001</v>
      </c>
      <c r="M81" s="27">
        <f t="shared" si="7"/>
        <v>0.909999</v>
      </c>
    </row>
    <row r="82">
      <c r="K82" s="14">
        <f t="shared" si="41"/>
        <v>0.94</v>
      </c>
      <c r="L82" s="27">
        <f t="shared" si="42"/>
        <v>0.086668</v>
      </c>
      <c r="M82" s="27">
        <f t="shared" si="7"/>
        <v>0.913332</v>
      </c>
    </row>
    <row r="83">
      <c r="K83" s="14">
        <f t="shared" si="41"/>
        <v>0.95</v>
      </c>
      <c r="L83" s="27">
        <f t="shared" si="42"/>
        <v>0.083335</v>
      </c>
      <c r="M83" s="27">
        <f t="shared" si="7"/>
        <v>0.916665</v>
      </c>
    </row>
    <row r="84">
      <c r="K84" s="14">
        <f t="shared" si="41"/>
        <v>0.96</v>
      </c>
      <c r="L84" s="27">
        <f t="shared" si="42"/>
        <v>0.080002</v>
      </c>
      <c r="M84" s="27">
        <f t="shared" si="7"/>
        <v>0.919998</v>
      </c>
      <c r="Q84" s="9" t="s">
        <v>51</v>
      </c>
      <c r="R84" s="9">
        <v>-0.02</v>
      </c>
    </row>
    <row r="85">
      <c r="K85" s="14">
        <f t="shared" si="41"/>
        <v>0.97</v>
      </c>
      <c r="L85" s="27">
        <f t="shared" si="42"/>
        <v>0.076669</v>
      </c>
      <c r="M85" s="27">
        <f t="shared" si="7"/>
        <v>0.923331</v>
      </c>
    </row>
    <row r="86">
      <c r="K86" s="14">
        <f t="shared" si="41"/>
        <v>0.98</v>
      </c>
      <c r="L86" s="27">
        <f t="shared" si="42"/>
        <v>0.073336</v>
      </c>
      <c r="M86" s="27">
        <f t="shared" si="7"/>
        <v>0.926664</v>
      </c>
    </row>
    <row r="87">
      <c r="K87" s="14">
        <f t="shared" si="41"/>
        <v>0.99</v>
      </c>
      <c r="L87" s="27">
        <f t="shared" si="42"/>
        <v>0.070003</v>
      </c>
      <c r="M87" s="27">
        <f t="shared" si="7"/>
        <v>0.929997</v>
      </c>
    </row>
    <row r="88">
      <c r="K88" s="14">
        <f t="shared" si="41"/>
        <v>1</v>
      </c>
      <c r="L88" s="27">
        <f t="shared" si="42"/>
        <v>0.06667</v>
      </c>
      <c r="M88" s="27">
        <f t="shared" si="7"/>
        <v>0.93333</v>
      </c>
    </row>
    <row r="89">
      <c r="K89" s="14">
        <f t="shared" si="41"/>
        <v>1.01</v>
      </c>
      <c r="L89" s="27">
        <f t="shared" si="42"/>
        <v>0.063337</v>
      </c>
      <c r="M89" s="27">
        <f t="shared" si="7"/>
        <v>0.936663</v>
      </c>
      <c r="Q89" s="9" t="s">
        <v>51</v>
      </c>
      <c r="R89" s="9">
        <v>-0.02</v>
      </c>
    </row>
    <row r="90">
      <c r="K90" s="14">
        <f t="shared" si="41"/>
        <v>1.02</v>
      </c>
      <c r="L90" s="27">
        <f t="shared" si="42"/>
        <v>0.060004</v>
      </c>
      <c r="M90" s="27">
        <f t="shared" si="7"/>
        <v>0.939996</v>
      </c>
    </row>
    <row r="91">
      <c r="K91" s="14">
        <f t="shared" si="41"/>
        <v>1.03</v>
      </c>
      <c r="L91" s="27">
        <f t="shared" si="42"/>
        <v>0.056671</v>
      </c>
      <c r="M91" s="27">
        <f t="shared" si="7"/>
        <v>0.943329</v>
      </c>
    </row>
    <row r="92">
      <c r="K92" s="14">
        <f t="shared" si="41"/>
        <v>1.04</v>
      </c>
      <c r="L92" s="27">
        <f t="shared" si="42"/>
        <v>0.053338</v>
      </c>
      <c r="M92" s="27">
        <f t="shared" si="7"/>
        <v>0.946662</v>
      </c>
    </row>
    <row r="93">
      <c r="K93" s="14">
        <f t="shared" si="41"/>
        <v>1.05</v>
      </c>
      <c r="L93" s="27">
        <v>0.05</v>
      </c>
      <c r="M93" s="27">
        <f t="shared" si="7"/>
        <v>0.95</v>
      </c>
    </row>
    <row r="94">
      <c r="K94" s="14">
        <f t="shared" si="41"/>
        <v>1.06</v>
      </c>
      <c r="L94" s="27">
        <f t="shared" ref="L94:L107" si="43">L93+$R$122</f>
        <v>0.0475</v>
      </c>
      <c r="M94" s="27">
        <f t="shared" si="7"/>
        <v>0.9525</v>
      </c>
      <c r="Q94" s="9" t="s">
        <v>51</v>
      </c>
      <c r="R94" s="9">
        <v>-0.02</v>
      </c>
    </row>
    <row r="95">
      <c r="K95" s="14">
        <f t="shared" si="41"/>
        <v>1.07</v>
      </c>
      <c r="L95" s="27">
        <f t="shared" si="43"/>
        <v>0.045</v>
      </c>
      <c r="M95" s="27">
        <f t="shared" si="7"/>
        <v>0.955</v>
      </c>
    </row>
    <row r="96">
      <c r="K96" s="14">
        <f t="shared" si="41"/>
        <v>1.08</v>
      </c>
      <c r="L96" s="27">
        <f t="shared" si="43"/>
        <v>0.0425</v>
      </c>
      <c r="M96" s="27">
        <f t="shared" si="7"/>
        <v>0.9575</v>
      </c>
    </row>
    <row r="97">
      <c r="K97" s="14">
        <f t="shared" si="41"/>
        <v>1.09</v>
      </c>
      <c r="L97" s="27">
        <f t="shared" si="43"/>
        <v>0.04</v>
      </c>
      <c r="M97" s="27">
        <f t="shared" si="7"/>
        <v>0.96</v>
      </c>
    </row>
    <row r="98">
      <c r="K98" s="14">
        <f t="shared" si="41"/>
        <v>1.1</v>
      </c>
      <c r="L98" s="27">
        <f t="shared" si="43"/>
        <v>0.0375</v>
      </c>
      <c r="M98" s="27">
        <f t="shared" si="7"/>
        <v>0.9625</v>
      </c>
    </row>
    <row r="99">
      <c r="K99" s="14">
        <f t="shared" si="41"/>
        <v>1.11</v>
      </c>
      <c r="L99" s="27">
        <f t="shared" si="43"/>
        <v>0.035</v>
      </c>
      <c r="M99" s="27">
        <f t="shared" si="7"/>
        <v>0.965</v>
      </c>
      <c r="Q99" s="9" t="s">
        <v>51</v>
      </c>
      <c r="R99" s="9">
        <v>-0.02</v>
      </c>
    </row>
    <row r="100">
      <c r="K100" s="14">
        <f t="shared" si="41"/>
        <v>1.12</v>
      </c>
      <c r="L100" s="27">
        <f t="shared" si="43"/>
        <v>0.0325</v>
      </c>
      <c r="M100" s="27">
        <f t="shared" si="7"/>
        <v>0.9675</v>
      </c>
    </row>
    <row r="101">
      <c r="K101" s="14">
        <f t="shared" si="41"/>
        <v>1.13</v>
      </c>
      <c r="L101" s="27">
        <f t="shared" si="43"/>
        <v>0.03</v>
      </c>
      <c r="M101" s="27">
        <f t="shared" si="7"/>
        <v>0.97</v>
      </c>
    </row>
    <row r="102">
      <c r="K102" s="14">
        <f t="shared" si="41"/>
        <v>1.14</v>
      </c>
      <c r="L102" s="27">
        <f t="shared" si="43"/>
        <v>0.0275</v>
      </c>
      <c r="M102" s="27">
        <f t="shared" si="7"/>
        <v>0.9725</v>
      </c>
    </row>
    <row r="103">
      <c r="K103" s="14">
        <f t="shared" si="41"/>
        <v>1.15</v>
      </c>
      <c r="L103" s="27">
        <f t="shared" si="43"/>
        <v>0.025</v>
      </c>
      <c r="M103" s="27">
        <f t="shared" si="7"/>
        <v>0.975</v>
      </c>
    </row>
    <row r="104">
      <c r="K104" s="14">
        <f t="shared" si="41"/>
        <v>1.16</v>
      </c>
      <c r="L104" s="27">
        <f t="shared" si="43"/>
        <v>0.0225</v>
      </c>
      <c r="M104" s="27">
        <f t="shared" si="7"/>
        <v>0.9775</v>
      </c>
    </row>
    <row r="105">
      <c r="K105" s="14">
        <f t="shared" si="41"/>
        <v>1.17</v>
      </c>
      <c r="L105" s="27">
        <f t="shared" si="43"/>
        <v>0.02</v>
      </c>
      <c r="M105" s="27">
        <f t="shared" si="7"/>
        <v>0.98</v>
      </c>
    </row>
    <row r="106">
      <c r="K106" s="14">
        <f t="shared" si="41"/>
        <v>1.18</v>
      </c>
      <c r="L106" s="27">
        <f t="shared" si="43"/>
        <v>0.0175</v>
      </c>
      <c r="M106" s="27">
        <f t="shared" si="7"/>
        <v>0.9825</v>
      </c>
    </row>
    <row r="107">
      <c r="K107" s="14">
        <f t="shared" si="41"/>
        <v>1.19</v>
      </c>
      <c r="L107" s="27">
        <f t="shared" si="43"/>
        <v>0.015</v>
      </c>
      <c r="M107" s="27">
        <f t="shared" si="7"/>
        <v>0.985</v>
      </c>
    </row>
    <row r="108">
      <c r="K108" s="14">
        <f t="shared" si="41"/>
        <v>1.2</v>
      </c>
      <c r="L108" s="27">
        <v>0.01</v>
      </c>
      <c r="M108" s="27">
        <f t="shared" si="7"/>
        <v>0.99</v>
      </c>
    </row>
    <row r="109">
      <c r="K109" s="14">
        <f t="shared" si="41"/>
        <v>1.21</v>
      </c>
      <c r="L109" s="27">
        <v>0.0</v>
      </c>
      <c r="M109" s="27">
        <f t="shared" si="7"/>
        <v>1</v>
      </c>
      <c r="Q109" s="9" t="s">
        <v>51</v>
      </c>
      <c r="R109" s="9">
        <v>-0.003333</v>
      </c>
    </row>
    <row r="110">
      <c r="K110" s="14">
        <f t="shared" si="41"/>
        <v>1.22</v>
      </c>
      <c r="L110" s="27">
        <v>0.0</v>
      </c>
      <c r="M110" s="27">
        <f t="shared" si="7"/>
        <v>1</v>
      </c>
    </row>
    <row r="111">
      <c r="K111" s="14">
        <f t="shared" si="41"/>
        <v>1.23</v>
      </c>
      <c r="L111" s="27">
        <v>0.0</v>
      </c>
      <c r="M111" s="27">
        <f t="shared" si="7"/>
        <v>1</v>
      </c>
    </row>
    <row r="112">
      <c r="K112" s="14">
        <f t="shared" si="41"/>
        <v>1.24</v>
      </c>
      <c r="L112" s="27">
        <v>0.0</v>
      </c>
      <c r="M112" s="27">
        <f t="shared" si="7"/>
        <v>1</v>
      </c>
    </row>
    <row r="113">
      <c r="K113" s="14">
        <f t="shared" si="41"/>
        <v>1.25</v>
      </c>
      <c r="L113" s="27">
        <v>0.0</v>
      </c>
      <c r="M113" s="27">
        <f t="shared" si="7"/>
        <v>1</v>
      </c>
    </row>
    <row r="114">
      <c r="K114" s="14">
        <f t="shared" si="41"/>
        <v>1.26</v>
      </c>
      <c r="L114" s="27">
        <v>0.0</v>
      </c>
      <c r="M114" s="27">
        <f t="shared" si="7"/>
        <v>1</v>
      </c>
    </row>
    <row r="115">
      <c r="K115" s="14">
        <f t="shared" si="41"/>
        <v>1.27</v>
      </c>
      <c r="L115" s="27">
        <v>0.0</v>
      </c>
      <c r="M115" s="27">
        <f t="shared" si="7"/>
        <v>1</v>
      </c>
    </row>
    <row r="116">
      <c r="K116" s="14">
        <f t="shared" si="41"/>
        <v>1.28</v>
      </c>
      <c r="L116" s="27">
        <v>0.0</v>
      </c>
      <c r="M116" s="27">
        <f t="shared" si="7"/>
        <v>1</v>
      </c>
    </row>
    <row r="117">
      <c r="K117" s="14">
        <f t="shared" si="41"/>
        <v>1.29</v>
      </c>
      <c r="L117" s="27">
        <v>0.0</v>
      </c>
      <c r="M117" s="27">
        <f t="shared" si="7"/>
        <v>1</v>
      </c>
    </row>
    <row r="118">
      <c r="K118" s="14">
        <f t="shared" si="41"/>
        <v>1.3</v>
      </c>
      <c r="L118" s="27">
        <v>0.0</v>
      </c>
      <c r="M118" s="27">
        <f t="shared" si="7"/>
        <v>1</v>
      </c>
    </row>
    <row r="119">
      <c r="K119" s="14">
        <f t="shared" si="41"/>
        <v>1.31</v>
      </c>
      <c r="L119" s="27">
        <v>0.0</v>
      </c>
      <c r="M119" s="27">
        <f t="shared" si="7"/>
        <v>1</v>
      </c>
    </row>
    <row r="120">
      <c r="K120" s="14">
        <f t="shared" si="41"/>
        <v>1.32</v>
      </c>
      <c r="L120" s="27">
        <v>0.0</v>
      </c>
      <c r="M120" s="27">
        <f t="shared" si="7"/>
        <v>1</v>
      </c>
    </row>
    <row r="121">
      <c r="K121" s="14">
        <f t="shared" si="41"/>
        <v>1.33</v>
      </c>
      <c r="L121" s="27">
        <v>0.0</v>
      </c>
      <c r="M121" s="27">
        <f t="shared" si="7"/>
        <v>1</v>
      </c>
    </row>
    <row r="122">
      <c r="K122" s="14">
        <f t="shared" si="41"/>
        <v>1.34</v>
      </c>
      <c r="L122" s="27">
        <v>0.0</v>
      </c>
      <c r="M122" s="27">
        <f t="shared" si="7"/>
        <v>1</v>
      </c>
      <c r="Q122" s="9" t="s">
        <v>51</v>
      </c>
      <c r="R122" s="9">
        <v>-0.0025</v>
      </c>
    </row>
    <row r="123">
      <c r="K123" s="14">
        <f t="shared" si="41"/>
        <v>1.35</v>
      </c>
      <c r="L123" s="27">
        <v>0.0</v>
      </c>
      <c r="M123" s="27">
        <f t="shared" si="7"/>
        <v>1</v>
      </c>
    </row>
    <row r="124">
      <c r="K124" s="14">
        <f t="shared" si="41"/>
        <v>1.36</v>
      </c>
      <c r="L124" s="27">
        <v>0.0</v>
      </c>
      <c r="M124" s="27">
        <f t="shared" si="7"/>
        <v>1</v>
      </c>
    </row>
    <row r="125">
      <c r="K125" s="14">
        <f t="shared" si="41"/>
        <v>1.37</v>
      </c>
      <c r="L125" s="27">
        <v>0.0</v>
      </c>
      <c r="M125" s="27">
        <f t="shared" si="7"/>
        <v>1</v>
      </c>
    </row>
    <row r="126">
      <c r="K126" s="14">
        <f t="shared" si="41"/>
        <v>1.38</v>
      </c>
      <c r="L126" s="27">
        <v>0.0</v>
      </c>
      <c r="M126" s="27">
        <f t="shared" si="7"/>
        <v>1</v>
      </c>
    </row>
    <row r="127">
      <c r="K127" s="14">
        <f t="shared" si="41"/>
        <v>1.39</v>
      </c>
      <c r="L127" s="27">
        <v>0.0</v>
      </c>
      <c r="M127" s="27">
        <f t="shared" si="7"/>
        <v>1</v>
      </c>
    </row>
    <row r="128">
      <c r="K128" s="14">
        <f t="shared" si="41"/>
        <v>1.4</v>
      </c>
      <c r="L128" s="27">
        <v>0.0</v>
      </c>
      <c r="M128" s="27">
        <f t="shared" si="7"/>
        <v>1</v>
      </c>
    </row>
    <row r="129">
      <c r="K129" s="14">
        <f t="shared" si="41"/>
        <v>1.41</v>
      </c>
      <c r="L129" s="27">
        <v>0.0</v>
      </c>
      <c r="M129" s="27">
        <f t="shared" si="7"/>
        <v>1</v>
      </c>
    </row>
    <row r="130">
      <c r="K130" s="14">
        <f t="shared" si="41"/>
        <v>1.42</v>
      </c>
      <c r="L130" s="27">
        <v>0.0</v>
      </c>
      <c r="M130" s="27">
        <f t="shared" si="7"/>
        <v>1</v>
      </c>
    </row>
    <row r="131">
      <c r="K131" s="14">
        <f t="shared" si="41"/>
        <v>1.43</v>
      </c>
      <c r="L131" s="27">
        <v>0.0</v>
      </c>
      <c r="M131" s="27">
        <f t="shared" si="7"/>
        <v>1</v>
      </c>
    </row>
    <row r="132">
      <c r="K132" s="14">
        <f t="shared" si="41"/>
        <v>1.44</v>
      </c>
      <c r="L132" s="27">
        <v>0.0</v>
      </c>
      <c r="M132" s="27">
        <f t="shared" si="7"/>
        <v>1</v>
      </c>
    </row>
    <row r="133">
      <c r="K133" s="14">
        <f t="shared" si="41"/>
        <v>1.45</v>
      </c>
      <c r="L133" s="27">
        <v>0.0</v>
      </c>
      <c r="M133" s="27">
        <f t="shared" si="7"/>
        <v>1</v>
      </c>
    </row>
    <row r="134">
      <c r="K134" s="14">
        <f t="shared" si="41"/>
        <v>1.46</v>
      </c>
      <c r="L134" s="27">
        <v>0.0</v>
      </c>
      <c r="M134" s="27">
        <f t="shared" si="7"/>
        <v>1</v>
      </c>
    </row>
    <row r="135">
      <c r="K135" s="14">
        <f t="shared" si="41"/>
        <v>1.47</v>
      </c>
      <c r="L135" s="27">
        <v>0.0</v>
      </c>
      <c r="M135" s="27">
        <f t="shared" si="7"/>
        <v>1</v>
      </c>
    </row>
    <row r="136">
      <c r="K136" s="14">
        <f t="shared" si="41"/>
        <v>1.48</v>
      </c>
      <c r="L136" s="27">
        <v>0.0</v>
      </c>
      <c r="M136" s="27">
        <f t="shared" si="7"/>
        <v>1</v>
      </c>
    </row>
    <row r="137">
      <c r="K137" s="14">
        <f t="shared" si="41"/>
        <v>1.49</v>
      </c>
      <c r="L137" s="27">
        <v>0.0</v>
      </c>
      <c r="M137" s="27">
        <f t="shared" si="7"/>
        <v>1</v>
      </c>
    </row>
    <row r="138">
      <c r="K138" s="14">
        <f t="shared" si="41"/>
        <v>1.5</v>
      </c>
      <c r="L138" s="27">
        <v>0.0</v>
      </c>
      <c r="M138" s="27">
        <f t="shared" si="7"/>
        <v>1</v>
      </c>
    </row>
    <row r="139">
      <c r="K139" s="14">
        <f t="shared" si="41"/>
        <v>1.51</v>
      </c>
      <c r="L139" s="27">
        <v>0.0</v>
      </c>
      <c r="M139" s="27">
        <f t="shared" si="7"/>
        <v>1</v>
      </c>
    </row>
    <row r="140">
      <c r="K140" s="14">
        <f t="shared" si="41"/>
        <v>1.52</v>
      </c>
      <c r="L140" s="27">
        <v>0.0</v>
      </c>
      <c r="M140" s="27">
        <f t="shared" si="7"/>
        <v>1</v>
      </c>
    </row>
    <row r="141">
      <c r="K141" s="14">
        <f t="shared" si="41"/>
        <v>1.53</v>
      </c>
      <c r="L141" s="27">
        <v>0.0</v>
      </c>
      <c r="M141" s="27">
        <f t="shared" si="7"/>
        <v>1</v>
      </c>
    </row>
    <row r="142">
      <c r="K142" s="14">
        <f t="shared" si="41"/>
        <v>1.54</v>
      </c>
      <c r="L142" s="27">
        <v>0.0</v>
      </c>
      <c r="M142" s="27">
        <f t="shared" si="7"/>
        <v>1</v>
      </c>
    </row>
    <row r="143">
      <c r="K143" s="14">
        <f t="shared" si="41"/>
        <v>1.55</v>
      </c>
      <c r="L143" s="27">
        <v>0.0</v>
      </c>
      <c r="M143" s="27">
        <f t="shared" si="7"/>
        <v>1</v>
      </c>
    </row>
    <row r="144">
      <c r="K144" s="14">
        <f t="shared" si="41"/>
        <v>1.56</v>
      </c>
      <c r="L144" s="27">
        <v>0.0</v>
      </c>
      <c r="M144" s="27">
        <f t="shared" si="7"/>
        <v>1</v>
      </c>
    </row>
    <row r="145">
      <c r="K145" s="14">
        <f t="shared" si="41"/>
        <v>1.57</v>
      </c>
      <c r="L145" s="27">
        <v>0.0</v>
      </c>
      <c r="M145" s="27">
        <f t="shared" si="7"/>
        <v>1</v>
      </c>
    </row>
    <row r="146">
      <c r="K146" s="14">
        <f t="shared" si="41"/>
        <v>1.58</v>
      </c>
      <c r="L146" s="27">
        <v>0.0</v>
      </c>
      <c r="M146" s="27">
        <f t="shared" si="7"/>
        <v>1</v>
      </c>
    </row>
    <row r="147">
      <c r="K147" s="14">
        <f t="shared" si="41"/>
        <v>1.59</v>
      </c>
      <c r="L147" s="27">
        <v>0.0</v>
      </c>
      <c r="M147" s="27">
        <f t="shared" si="7"/>
        <v>1</v>
      </c>
    </row>
    <row r="148">
      <c r="K148" s="14">
        <f t="shared" si="41"/>
        <v>1.6</v>
      </c>
      <c r="L148" s="27">
        <v>0.0</v>
      </c>
      <c r="M148" s="27">
        <f t="shared" si="7"/>
        <v>1</v>
      </c>
    </row>
    <row r="149">
      <c r="K149" s="14">
        <f t="shared" si="41"/>
        <v>1.61</v>
      </c>
      <c r="L149" s="27">
        <v>0.0</v>
      </c>
      <c r="M149" s="27">
        <f t="shared" si="7"/>
        <v>1</v>
      </c>
    </row>
    <row r="150">
      <c r="K150" s="14">
        <f t="shared" si="41"/>
        <v>1.62</v>
      </c>
      <c r="L150" s="27">
        <v>0.0</v>
      </c>
      <c r="M150" s="27">
        <f t="shared" si="7"/>
        <v>1</v>
      </c>
    </row>
    <row r="151">
      <c r="K151" s="14">
        <f t="shared" si="41"/>
        <v>1.63</v>
      </c>
      <c r="L151" s="27">
        <v>0.0</v>
      </c>
      <c r="M151" s="27">
        <f t="shared" si="7"/>
        <v>1</v>
      </c>
    </row>
    <row r="152">
      <c r="K152" s="14">
        <f t="shared" si="41"/>
        <v>1.64</v>
      </c>
      <c r="L152" s="27">
        <v>0.0</v>
      </c>
      <c r="M152" s="27">
        <f t="shared" si="7"/>
        <v>1</v>
      </c>
    </row>
    <row r="153">
      <c r="K153" s="14">
        <f t="shared" si="41"/>
        <v>1.65</v>
      </c>
      <c r="L153" s="27">
        <v>0.0</v>
      </c>
      <c r="M153" s="27">
        <f t="shared" si="7"/>
        <v>1</v>
      </c>
    </row>
    <row r="154">
      <c r="K154" s="14">
        <f t="shared" si="41"/>
        <v>1.66</v>
      </c>
      <c r="L154" s="27">
        <v>0.0</v>
      </c>
      <c r="M154" s="27">
        <f t="shared" si="7"/>
        <v>1</v>
      </c>
    </row>
    <row r="155">
      <c r="K155" s="14">
        <f t="shared" si="41"/>
        <v>1.67</v>
      </c>
      <c r="L155" s="27">
        <v>0.0</v>
      </c>
      <c r="M155" s="27">
        <f t="shared" si="7"/>
        <v>1</v>
      </c>
    </row>
    <row r="156">
      <c r="K156" s="14">
        <f t="shared" si="41"/>
        <v>1.68</v>
      </c>
      <c r="L156" s="27">
        <v>0.0</v>
      </c>
      <c r="M156" s="27">
        <f t="shared" si="7"/>
        <v>1</v>
      </c>
    </row>
    <row r="157">
      <c r="K157" s="14">
        <f t="shared" si="41"/>
        <v>1.69</v>
      </c>
      <c r="L157" s="27">
        <v>0.0</v>
      </c>
      <c r="M157" s="27">
        <f t="shared" si="7"/>
        <v>1</v>
      </c>
    </row>
    <row r="158">
      <c r="K158" s="14">
        <f t="shared" si="41"/>
        <v>1.7</v>
      </c>
      <c r="L158" s="27">
        <v>0.0</v>
      </c>
      <c r="M158" s="27">
        <f t="shared" si="7"/>
        <v>1</v>
      </c>
    </row>
    <row r="159">
      <c r="K159" s="14">
        <f t="shared" si="41"/>
        <v>1.71</v>
      </c>
      <c r="L159" s="27">
        <v>0.0</v>
      </c>
      <c r="M159" s="27">
        <f t="shared" si="7"/>
        <v>1</v>
      </c>
    </row>
    <row r="160">
      <c r="K160" s="14">
        <f t="shared" si="41"/>
        <v>1.72</v>
      </c>
      <c r="L160" s="27">
        <v>0.0</v>
      </c>
      <c r="M160" s="27">
        <f t="shared" si="7"/>
        <v>1</v>
      </c>
    </row>
    <row r="161">
      <c r="K161" s="14">
        <f t="shared" si="41"/>
        <v>1.73</v>
      </c>
      <c r="L161" s="27">
        <v>0.0</v>
      </c>
      <c r="M161" s="27">
        <f t="shared" si="7"/>
        <v>1</v>
      </c>
    </row>
    <row r="162">
      <c r="K162" s="14">
        <f t="shared" si="41"/>
        <v>1.74</v>
      </c>
      <c r="L162" s="27">
        <v>0.0</v>
      </c>
      <c r="M162" s="27">
        <f t="shared" si="7"/>
        <v>1</v>
      </c>
    </row>
    <row r="163">
      <c r="K163" s="14">
        <f t="shared" si="41"/>
        <v>1.75</v>
      </c>
      <c r="L163" s="27">
        <v>0.0</v>
      </c>
      <c r="M163" s="27">
        <f t="shared" si="7"/>
        <v>1</v>
      </c>
    </row>
    <row r="164">
      <c r="K164" s="14">
        <f t="shared" si="41"/>
        <v>1.76</v>
      </c>
      <c r="L164" s="27">
        <v>0.0</v>
      </c>
      <c r="M164" s="27">
        <f t="shared" si="7"/>
        <v>1</v>
      </c>
    </row>
    <row r="165">
      <c r="K165" s="14">
        <f t="shared" si="41"/>
        <v>1.77</v>
      </c>
      <c r="L165" s="27">
        <v>0.0</v>
      </c>
      <c r="M165" s="27">
        <f t="shared" si="7"/>
        <v>1</v>
      </c>
    </row>
    <row r="166">
      <c r="K166" s="14">
        <f t="shared" si="41"/>
        <v>1.78</v>
      </c>
      <c r="L166" s="27">
        <v>0.0</v>
      </c>
      <c r="M166" s="27">
        <f t="shared" si="7"/>
        <v>1</v>
      </c>
    </row>
    <row r="167">
      <c r="K167" s="14">
        <f t="shared" si="41"/>
        <v>1.79</v>
      </c>
      <c r="L167" s="27">
        <v>0.0</v>
      </c>
      <c r="M167" s="27">
        <f t="shared" si="7"/>
        <v>1</v>
      </c>
    </row>
    <row r="168">
      <c r="K168" s="14">
        <f t="shared" si="41"/>
        <v>1.8</v>
      </c>
      <c r="L168" s="27">
        <v>0.0</v>
      </c>
      <c r="M168" s="27">
        <f t="shared" si="7"/>
        <v>1</v>
      </c>
    </row>
    <row r="169">
      <c r="K169" s="14">
        <f t="shared" si="41"/>
        <v>1.81</v>
      </c>
      <c r="L169" s="27">
        <v>0.0</v>
      </c>
      <c r="M169" s="27">
        <f t="shared" si="7"/>
        <v>1</v>
      </c>
    </row>
    <row r="170">
      <c r="K170" s="14">
        <f t="shared" si="41"/>
        <v>1.82</v>
      </c>
      <c r="L170" s="27">
        <v>0.0</v>
      </c>
      <c r="M170" s="27">
        <f t="shared" si="7"/>
        <v>1</v>
      </c>
    </row>
    <row r="171">
      <c r="K171" s="14">
        <f t="shared" si="41"/>
        <v>1.83</v>
      </c>
      <c r="L171" s="27">
        <v>0.0</v>
      </c>
      <c r="M171" s="27">
        <f t="shared" si="7"/>
        <v>1</v>
      </c>
    </row>
    <row r="172">
      <c r="K172" s="14">
        <f t="shared" si="41"/>
        <v>1.84</v>
      </c>
      <c r="L172" s="27">
        <v>0.0</v>
      </c>
      <c r="M172" s="27">
        <f t="shared" si="7"/>
        <v>1</v>
      </c>
    </row>
    <row r="173">
      <c r="K173" s="14">
        <f t="shared" si="41"/>
        <v>1.85</v>
      </c>
      <c r="L173" s="27">
        <v>0.0</v>
      </c>
      <c r="M173" s="27">
        <f t="shared" si="7"/>
        <v>1</v>
      </c>
    </row>
    <row r="174">
      <c r="K174" s="14">
        <f t="shared" si="41"/>
        <v>1.86</v>
      </c>
      <c r="L174" s="27">
        <v>0.0</v>
      </c>
      <c r="M174" s="27">
        <f t="shared" si="7"/>
        <v>1</v>
      </c>
    </row>
    <row r="175">
      <c r="K175" s="14">
        <f t="shared" si="41"/>
        <v>1.87</v>
      </c>
      <c r="L175" s="27">
        <v>0.0</v>
      </c>
      <c r="M175" s="27">
        <f t="shared" si="7"/>
        <v>1</v>
      </c>
    </row>
    <row r="176">
      <c r="K176" s="14">
        <f t="shared" si="41"/>
        <v>1.88</v>
      </c>
      <c r="L176" s="27">
        <v>0.0</v>
      </c>
      <c r="M176" s="27">
        <f t="shared" si="7"/>
        <v>1</v>
      </c>
    </row>
    <row r="177">
      <c r="K177" s="14">
        <f t="shared" si="41"/>
        <v>1.89</v>
      </c>
      <c r="L177" s="27">
        <v>0.0</v>
      </c>
      <c r="M177" s="27">
        <f t="shared" si="7"/>
        <v>1</v>
      </c>
    </row>
    <row r="178">
      <c r="K178" s="14">
        <f t="shared" si="41"/>
        <v>1.9</v>
      </c>
      <c r="L178" s="27">
        <v>0.0</v>
      </c>
      <c r="M178" s="27">
        <f t="shared" si="7"/>
        <v>1</v>
      </c>
    </row>
    <row r="179">
      <c r="K179" s="14">
        <f t="shared" si="41"/>
        <v>1.91</v>
      </c>
      <c r="L179" s="27">
        <v>0.0</v>
      </c>
      <c r="M179" s="27">
        <f t="shared" si="7"/>
        <v>1</v>
      </c>
    </row>
    <row r="180">
      <c r="K180" s="14">
        <f t="shared" si="41"/>
        <v>1.92</v>
      </c>
      <c r="L180" s="27">
        <v>0.0</v>
      </c>
      <c r="M180" s="27">
        <f t="shared" si="7"/>
        <v>1</v>
      </c>
    </row>
    <row r="181">
      <c r="K181" s="14">
        <f t="shared" si="41"/>
        <v>1.93</v>
      </c>
      <c r="L181" s="27">
        <v>0.0</v>
      </c>
      <c r="M181" s="27">
        <f t="shared" si="7"/>
        <v>1</v>
      </c>
    </row>
    <row r="182">
      <c r="K182" s="14">
        <f t="shared" si="41"/>
        <v>1.94</v>
      </c>
      <c r="L182" s="27">
        <v>0.0</v>
      </c>
      <c r="M182" s="27">
        <f t="shared" si="7"/>
        <v>1</v>
      </c>
    </row>
    <row r="183">
      <c r="K183" s="14">
        <f t="shared" si="41"/>
        <v>1.95</v>
      </c>
      <c r="L183" s="27">
        <v>0.0</v>
      </c>
      <c r="M183" s="27">
        <f t="shared" si="7"/>
        <v>1</v>
      </c>
    </row>
    <row r="184">
      <c r="K184" s="14">
        <f t="shared" si="41"/>
        <v>1.96</v>
      </c>
      <c r="L184" s="27">
        <v>0.0</v>
      </c>
      <c r="M184" s="27">
        <f t="shared" si="7"/>
        <v>1</v>
      </c>
    </row>
    <row r="185">
      <c r="K185" s="14">
        <f t="shared" si="41"/>
        <v>1.97</v>
      </c>
      <c r="L185" s="27">
        <v>0.0</v>
      </c>
      <c r="M185" s="27">
        <f t="shared" si="7"/>
        <v>1</v>
      </c>
    </row>
    <row r="186">
      <c r="K186" s="14">
        <f t="shared" si="41"/>
        <v>1.98</v>
      </c>
      <c r="L186" s="27">
        <v>0.0</v>
      </c>
      <c r="M186" s="27">
        <f t="shared" si="7"/>
        <v>1</v>
      </c>
    </row>
    <row r="187">
      <c r="K187" s="14">
        <f t="shared" si="41"/>
        <v>1.99</v>
      </c>
      <c r="L187" s="27">
        <v>0.0</v>
      </c>
      <c r="M187" s="27">
        <f t="shared" si="7"/>
        <v>1</v>
      </c>
    </row>
    <row r="188">
      <c r="K188" s="14">
        <f t="shared" si="41"/>
        <v>2</v>
      </c>
      <c r="L188" s="27">
        <v>0.0</v>
      </c>
      <c r="M188" s="27">
        <f t="shared" si="7"/>
        <v>1</v>
      </c>
    </row>
    <row r="189">
      <c r="K189" s="14">
        <f t="shared" si="41"/>
        <v>2.01</v>
      </c>
      <c r="L189" s="27">
        <v>0.0</v>
      </c>
      <c r="M189" s="27">
        <f t="shared" si="7"/>
        <v>1</v>
      </c>
    </row>
    <row r="190">
      <c r="K190" s="14">
        <f t="shared" si="41"/>
        <v>2.02</v>
      </c>
      <c r="L190" s="27">
        <v>0.0</v>
      </c>
      <c r="M190" s="27">
        <f t="shared" si="7"/>
        <v>1</v>
      </c>
    </row>
    <row r="191">
      <c r="K191" s="14">
        <f t="shared" si="41"/>
        <v>2.03</v>
      </c>
      <c r="L191" s="27">
        <v>0.0</v>
      </c>
      <c r="M191" s="27">
        <f t="shared" si="7"/>
        <v>1</v>
      </c>
    </row>
    <row r="192">
      <c r="K192" s="14">
        <f t="shared" si="41"/>
        <v>2.04</v>
      </c>
      <c r="L192" s="27">
        <v>0.0</v>
      </c>
      <c r="M192" s="27">
        <f t="shared" si="7"/>
        <v>1</v>
      </c>
    </row>
    <row r="193">
      <c r="K193" s="14">
        <f t="shared" si="41"/>
        <v>2.05</v>
      </c>
      <c r="L193" s="27">
        <v>0.0</v>
      </c>
      <c r="M193" s="27">
        <f t="shared" si="7"/>
        <v>1</v>
      </c>
    </row>
    <row r="194">
      <c r="K194" s="14">
        <f t="shared" si="41"/>
        <v>2.06</v>
      </c>
      <c r="L194" s="27">
        <v>0.0</v>
      </c>
      <c r="M194" s="27">
        <f t="shared" si="7"/>
        <v>1</v>
      </c>
    </row>
    <row r="195">
      <c r="K195" s="14">
        <f t="shared" si="41"/>
        <v>2.07</v>
      </c>
      <c r="L195" s="27">
        <v>0.0</v>
      </c>
      <c r="M195" s="27">
        <f t="shared" si="7"/>
        <v>1</v>
      </c>
    </row>
    <row r="196">
      <c r="K196" s="14">
        <f t="shared" si="41"/>
        <v>2.08</v>
      </c>
      <c r="L196" s="27">
        <v>0.0</v>
      </c>
      <c r="M196" s="27">
        <f t="shared" si="7"/>
        <v>1</v>
      </c>
    </row>
    <row r="197">
      <c r="K197" s="14">
        <f t="shared" si="41"/>
        <v>2.09</v>
      </c>
      <c r="L197" s="27">
        <v>0.0</v>
      </c>
      <c r="M197" s="27">
        <f t="shared" si="7"/>
        <v>1</v>
      </c>
    </row>
    <row r="198">
      <c r="K198" s="14">
        <f t="shared" si="41"/>
        <v>2.1</v>
      </c>
      <c r="L198" s="27">
        <v>0.0</v>
      </c>
      <c r="M198" s="27">
        <f t="shared" si="7"/>
        <v>1</v>
      </c>
    </row>
    <row r="199">
      <c r="K199" s="14">
        <f t="shared" si="41"/>
        <v>2.11</v>
      </c>
      <c r="L199" s="27">
        <v>0.0</v>
      </c>
      <c r="M199" s="27">
        <f t="shared" si="7"/>
        <v>1</v>
      </c>
    </row>
    <row r="200">
      <c r="K200" s="14">
        <f t="shared" si="41"/>
        <v>2.12</v>
      </c>
      <c r="L200" s="27">
        <v>0.0</v>
      </c>
      <c r="M200" s="27">
        <f t="shared" si="7"/>
        <v>1</v>
      </c>
    </row>
    <row r="201">
      <c r="K201" s="14">
        <f t="shared" si="41"/>
        <v>2.13</v>
      </c>
      <c r="L201" s="27">
        <v>0.0</v>
      </c>
      <c r="M201" s="27">
        <f t="shared" si="7"/>
        <v>1</v>
      </c>
    </row>
    <row r="202">
      <c r="K202" s="14">
        <f t="shared" si="41"/>
        <v>2.14</v>
      </c>
      <c r="L202" s="27">
        <v>0.0</v>
      </c>
      <c r="M202" s="27">
        <f t="shared" si="7"/>
        <v>1</v>
      </c>
    </row>
    <row r="203">
      <c r="K203" s="14">
        <f t="shared" si="41"/>
        <v>2.15</v>
      </c>
      <c r="L203" s="27">
        <v>0.0</v>
      </c>
      <c r="M203" s="27">
        <f t="shared" si="7"/>
        <v>1</v>
      </c>
    </row>
    <row r="204">
      <c r="K204" s="14">
        <f t="shared" si="41"/>
        <v>2.16</v>
      </c>
      <c r="L204" s="27">
        <v>0.0</v>
      </c>
      <c r="M204" s="27">
        <f t="shared" si="7"/>
        <v>1</v>
      </c>
    </row>
    <row r="205">
      <c r="K205" s="14">
        <f t="shared" si="41"/>
        <v>2.17</v>
      </c>
      <c r="L205" s="27">
        <v>0.0</v>
      </c>
      <c r="M205" s="27">
        <f t="shared" si="7"/>
        <v>1</v>
      </c>
    </row>
    <row r="206">
      <c r="K206" s="14">
        <f t="shared" si="41"/>
        <v>2.18</v>
      </c>
      <c r="L206" s="27">
        <v>0.0</v>
      </c>
      <c r="M206" s="27">
        <f t="shared" si="7"/>
        <v>1</v>
      </c>
    </row>
    <row r="207">
      <c r="K207" s="14">
        <f t="shared" si="41"/>
        <v>2.19</v>
      </c>
      <c r="L207" s="27">
        <v>0.0</v>
      </c>
      <c r="M207" s="27">
        <f t="shared" si="7"/>
        <v>1</v>
      </c>
    </row>
    <row r="208">
      <c r="K208" s="14">
        <f t="shared" si="41"/>
        <v>2.2</v>
      </c>
      <c r="L208" s="27">
        <v>0.0</v>
      </c>
      <c r="M208" s="27">
        <f t="shared" si="7"/>
        <v>1</v>
      </c>
    </row>
    <row r="209">
      <c r="K209" s="14">
        <f t="shared" si="41"/>
        <v>2.21</v>
      </c>
      <c r="L209" s="27">
        <v>0.0</v>
      </c>
      <c r="M209" s="27">
        <f t="shared" si="7"/>
        <v>1</v>
      </c>
    </row>
    <row r="210">
      <c r="K210" s="14">
        <f t="shared" si="41"/>
        <v>2.22</v>
      </c>
      <c r="L210" s="27">
        <v>0.0</v>
      </c>
      <c r="M210" s="27">
        <f t="shared" si="7"/>
        <v>1</v>
      </c>
    </row>
    <row r="211">
      <c r="K211" s="14">
        <f t="shared" si="41"/>
        <v>2.23</v>
      </c>
      <c r="L211" s="27">
        <v>0.0</v>
      </c>
      <c r="M211" s="27">
        <f t="shared" si="7"/>
        <v>1</v>
      </c>
    </row>
    <row r="212">
      <c r="K212" s="14">
        <f t="shared" si="41"/>
        <v>2.24</v>
      </c>
      <c r="L212" s="27">
        <v>0.0</v>
      </c>
      <c r="M212" s="27">
        <f t="shared" si="7"/>
        <v>1</v>
      </c>
    </row>
    <row r="213">
      <c r="K213" s="14">
        <f t="shared" si="41"/>
        <v>2.25</v>
      </c>
      <c r="L213" s="27">
        <v>0.0</v>
      </c>
      <c r="M213" s="27">
        <f t="shared" si="7"/>
        <v>1</v>
      </c>
    </row>
    <row r="214">
      <c r="K214" s="14">
        <f t="shared" si="41"/>
        <v>2.26</v>
      </c>
      <c r="L214" s="27">
        <v>0.0</v>
      </c>
      <c r="M214" s="27">
        <f t="shared" si="7"/>
        <v>1</v>
      </c>
    </row>
    <row r="215">
      <c r="K215" s="14">
        <f t="shared" si="41"/>
        <v>2.27</v>
      </c>
      <c r="L215" s="27">
        <v>0.0</v>
      </c>
      <c r="M215" s="27">
        <f t="shared" si="7"/>
        <v>1</v>
      </c>
    </row>
    <row r="216">
      <c r="K216" s="14">
        <f t="shared" si="41"/>
        <v>2.28</v>
      </c>
      <c r="L216" s="27">
        <v>0.0</v>
      </c>
      <c r="M216" s="27">
        <f t="shared" si="7"/>
        <v>1</v>
      </c>
    </row>
    <row r="217">
      <c r="K217" s="14">
        <f t="shared" si="41"/>
        <v>2.29</v>
      </c>
      <c r="L217" s="27">
        <v>0.0</v>
      </c>
      <c r="M217" s="27">
        <f t="shared" si="7"/>
        <v>1</v>
      </c>
    </row>
    <row r="218">
      <c r="K218" s="14">
        <f t="shared" si="41"/>
        <v>2.3</v>
      </c>
      <c r="L218" s="27">
        <v>0.0</v>
      </c>
      <c r="M218" s="27">
        <f t="shared" si="7"/>
        <v>1</v>
      </c>
    </row>
    <row r="219">
      <c r="K219" s="14">
        <f t="shared" si="41"/>
        <v>2.31</v>
      </c>
      <c r="L219" s="27">
        <v>0.0</v>
      </c>
      <c r="M219" s="27">
        <f t="shared" si="7"/>
        <v>1</v>
      </c>
    </row>
    <row r="220">
      <c r="K220" s="14">
        <f t="shared" si="41"/>
        <v>2.32</v>
      </c>
      <c r="L220" s="27">
        <v>0.0</v>
      </c>
      <c r="M220" s="27">
        <f t="shared" si="7"/>
        <v>1</v>
      </c>
    </row>
    <row r="221">
      <c r="K221" s="14">
        <f t="shared" si="41"/>
        <v>2.33</v>
      </c>
      <c r="L221" s="27">
        <v>0.0</v>
      </c>
      <c r="M221" s="27">
        <f t="shared" si="7"/>
        <v>1</v>
      </c>
    </row>
    <row r="222">
      <c r="K222" s="14">
        <f t="shared" si="41"/>
        <v>2.34</v>
      </c>
      <c r="L222" s="27">
        <v>0.0</v>
      </c>
      <c r="M222" s="27">
        <f t="shared" si="7"/>
        <v>1</v>
      </c>
    </row>
    <row r="223">
      <c r="K223" s="14">
        <f t="shared" si="41"/>
        <v>2.35</v>
      </c>
      <c r="L223" s="27">
        <v>0.0</v>
      </c>
      <c r="M223" s="27">
        <f t="shared" si="7"/>
        <v>1</v>
      </c>
    </row>
    <row r="224">
      <c r="K224" s="14">
        <f t="shared" si="41"/>
        <v>2.36</v>
      </c>
      <c r="L224" s="27">
        <v>0.0</v>
      </c>
      <c r="M224" s="27">
        <f t="shared" si="7"/>
        <v>1</v>
      </c>
    </row>
    <row r="225">
      <c r="K225" s="14">
        <f t="shared" si="41"/>
        <v>2.37</v>
      </c>
      <c r="L225" s="27">
        <v>0.0</v>
      </c>
      <c r="M225" s="27">
        <f t="shared" si="7"/>
        <v>1</v>
      </c>
    </row>
    <row r="226">
      <c r="K226" s="14">
        <f t="shared" si="41"/>
        <v>2.38</v>
      </c>
      <c r="L226" s="27">
        <v>0.0</v>
      </c>
      <c r="M226" s="27">
        <f t="shared" si="7"/>
        <v>1</v>
      </c>
    </row>
    <row r="227">
      <c r="K227" s="14">
        <f t="shared" si="41"/>
        <v>2.39</v>
      </c>
      <c r="L227" s="27">
        <v>0.0</v>
      </c>
      <c r="M227" s="27">
        <f t="shared" si="7"/>
        <v>1</v>
      </c>
    </row>
    <row r="228">
      <c r="K228" s="14">
        <f t="shared" si="41"/>
        <v>2.4</v>
      </c>
      <c r="L228" s="27">
        <v>0.0</v>
      </c>
      <c r="M228" s="27">
        <f t="shared" si="7"/>
        <v>1</v>
      </c>
    </row>
    <row r="229">
      <c r="K229" s="14">
        <f t="shared" si="41"/>
        <v>2.41</v>
      </c>
      <c r="L229" s="27">
        <v>0.0</v>
      </c>
      <c r="M229" s="27">
        <f t="shared" si="7"/>
        <v>1</v>
      </c>
    </row>
    <row r="230">
      <c r="K230" s="14">
        <f t="shared" si="41"/>
        <v>2.42</v>
      </c>
      <c r="L230" s="27">
        <v>0.0</v>
      </c>
      <c r="M230" s="27">
        <f t="shared" si="7"/>
        <v>1</v>
      </c>
    </row>
    <row r="231">
      <c r="K231" s="14">
        <f t="shared" si="41"/>
        <v>2.43</v>
      </c>
      <c r="L231" s="27">
        <v>0.0</v>
      </c>
      <c r="M231" s="27">
        <f t="shared" si="7"/>
        <v>1</v>
      </c>
    </row>
    <row r="232">
      <c r="K232" s="14">
        <f t="shared" si="41"/>
        <v>2.44</v>
      </c>
      <c r="L232" s="27">
        <v>0.0</v>
      </c>
      <c r="M232" s="27">
        <f t="shared" si="7"/>
        <v>1</v>
      </c>
    </row>
    <row r="233">
      <c r="K233" s="14">
        <f t="shared" si="41"/>
        <v>2.45</v>
      </c>
      <c r="L233" s="27">
        <v>0.0</v>
      </c>
      <c r="M233" s="27">
        <f t="shared" si="7"/>
        <v>1</v>
      </c>
    </row>
    <row r="234">
      <c r="K234" s="14">
        <f t="shared" si="41"/>
        <v>2.46</v>
      </c>
      <c r="L234" s="27">
        <v>0.0</v>
      </c>
      <c r="M234" s="27">
        <f t="shared" si="7"/>
        <v>1</v>
      </c>
    </row>
    <row r="235">
      <c r="K235" s="14">
        <f t="shared" si="41"/>
        <v>2.47</v>
      </c>
      <c r="L235" s="27">
        <v>0.0</v>
      </c>
      <c r="M235" s="27">
        <f t="shared" si="7"/>
        <v>1</v>
      </c>
    </row>
    <row r="236">
      <c r="K236" s="14">
        <f t="shared" si="41"/>
        <v>2.48</v>
      </c>
      <c r="L236" s="27">
        <v>0.0</v>
      </c>
      <c r="M236" s="27">
        <f t="shared" si="7"/>
        <v>1</v>
      </c>
    </row>
    <row r="237">
      <c r="K237" s="14">
        <f t="shared" si="41"/>
        <v>2.49</v>
      </c>
      <c r="L237" s="27">
        <v>0.0</v>
      </c>
      <c r="M237" s="27">
        <f t="shared" si="7"/>
        <v>1</v>
      </c>
    </row>
    <row r="238">
      <c r="K238" s="14">
        <f t="shared" si="41"/>
        <v>2.5</v>
      </c>
      <c r="L238" s="27">
        <v>0.0</v>
      </c>
      <c r="M238" s="27">
        <f t="shared" si="7"/>
        <v>1</v>
      </c>
    </row>
    <row r="239">
      <c r="K239" s="14">
        <f t="shared" si="41"/>
        <v>2.51</v>
      </c>
      <c r="L239" s="27">
        <v>0.0</v>
      </c>
      <c r="M239" s="27">
        <f t="shared" si="7"/>
        <v>1</v>
      </c>
    </row>
    <row r="240">
      <c r="K240" s="14">
        <f t="shared" si="41"/>
        <v>2.52</v>
      </c>
      <c r="L240" s="27">
        <v>0.0</v>
      </c>
      <c r="M240" s="27">
        <f t="shared" si="7"/>
        <v>1</v>
      </c>
    </row>
    <row r="241">
      <c r="K241" s="14">
        <f t="shared" si="41"/>
        <v>2.53</v>
      </c>
      <c r="L241" s="27">
        <v>0.0</v>
      </c>
      <c r="M241" s="27">
        <f t="shared" si="7"/>
        <v>1</v>
      </c>
    </row>
    <row r="242">
      <c r="K242" s="14">
        <f t="shared" si="41"/>
        <v>2.54</v>
      </c>
      <c r="L242" s="27">
        <v>0.0</v>
      </c>
      <c r="M242" s="27">
        <f t="shared" si="7"/>
        <v>1</v>
      </c>
    </row>
    <row r="243">
      <c r="K243" s="14">
        <f t="shared" si="41"/>
        <v>2.55</v>
      </c>
      <c r="L243" s="27">
        <v>0.0</v>
      </c>
      <c r="M243" s="27">
        <f t="shared" si="7"/>
        <v>1</v>
      </c>
    </row>
    <row r="244">
      <c r="K244" s="14">
        <f t="shared" si="41"/>
        <v>2.56</v>
      </c>
      <c r="L244" s="27">
        <v>0.0</v>
      </c>
      <c r="M244" s="27">
        <f t="shared" si="7"/>
        <v>1</v>
      </c>
    </row>
    <row r="245">
      <c r="K245" s="14">
        <f t="shared" si="41"/>
        <v>2.57</v>
      </c>
      <c r="L245" s="27">
        <v>0.0</v>
      </c>
      <c r="M245" s="27">
        <f t="shared" si="7"/>
        <v>1</v>
      </c>
    </row>
    <row r="246">
      <c r="K246" s="14">
        <f t="shared" si="41"/>
        <v>2.58</v>
      </c>
      <c r="L246" s="27">
        <v>0.0</v>
      </c>
      <c r="M246" s="27">
        <f t="shared" si="7"/>
        <v>1</v>
      </c>
    </row>
    <row r="247">
      <c r="K247" s="14">
        <f t="shared" si="41"/>
        <v>2.59</v>
      </c>
      <c r="L247" s="27">
        <v>0.0</v>
      </c>
      <c r="M247" s="27">
        <f t="shared" si="7"/>
        <v>1</v>
      </c>
    </row>
    <row r="248">
      <c r="K248" s="14">
        <f t="shared" si="41"/>
        <v>2.6</v>
      </c>
      <c r="L248" s="27">
        <v>0.0</v>
      </c>
      <c r="M248" s="27">
        <f t="shared" si="7"/>
        <v>1</v>
      </c>
    </row>
    <row r="249">
      <c r="K249" s="14">
        <f t="shared" si="41"/>
        <v>2.61</v>
      </c>
      <c r="L249" s="27">
        <v>0.0</v>
      </c>
      <c r="M249" s="27">
        <f t="shared" si="7"/>
        <v>1</v>
      </c>
    </row>
    <row r="250">
      <c r="K250" s="14">
        <f t="shared" si="41"/>
        <v>2.62</v>
      </c>
      <c r="L250" s="27">
        <v>0.0</v>
      </c>
      <c r="M250" s="27">
        <f t="shared" si="7"/>
        <v>1</v>
      </c>
    </row>
    <row r="251">
      <c r="K251" s="14">
        <f t="shared" si="41"/>
        <v>2.63</v>
      </c>
      <c r="L251" s="27">
        <v>0.0</v>
      </c>
      <c r="M251" s="27">
        <f t="shared" si="7"/>
        <v>1</v>
      </c>
    </row>
    <row r="252">
      <c r="K252" s="14">
        <f t="shared" si="41"/>
        <v>2.64</v>
      </c>
      <c r="L252" s="27">
        <v>0.0</v>
      </c>
      <c r="M252" s="27">
        <f t="shared" si="7"/>
        <v>1</v>
      </c>
    </row>
    <row r="253">
      <c r="K253" s="14">
        <f t="shared" si="41"/>
        <v>2.65</v>
      </c>
      <c r="L253" s="27">
        <v>0.0</v>
      </c>
      <c r="M253" s="27">
        <f t="shared" si="7"/>
        <v>1</v>
      </c>
    </row>
    <row r="254">
      <c r="K254" s="14">
        <f t="shared" si="41"/>
        <v>2.66</v>
      </c>
      <c r="L254" s="27">
        <v>0.0</v>
      </c>
      <c r="M254" s="27">
        <f t="shared" si="7"/>
        <v>1</v>
      </c>
    </row>
    <row r="255">
      <c r="K255" s="14">
        <f t="shared" si="41"/>
        <v>2.67</v>
      </c>
      <c r="L255" s="27">
        <v>0.0</v>
      </c>
      <c r="M255" s="27">
        <f t="shared" si="7"/>
        <v>1</v>
      </c>
    </row>
    <row r="256">
      <c r="K256" s="14">
        <f t="shared" si="41"/>
        <v>2.68</v>
      </c>
      <c r="L256" s="27">
        <v>0.0</v>
      </c>
      <c r="M256" s="27">
        <f t="shared" si="7"/>
        <v>1</v>
      </c>
    </row>
    <row r="257">
      <c r="K257" s="14">
        <f t="shared" si="41"/>
        <v>2.69</v>
      </c>
      <c r="L257" s="27">
        <v>0.0</v>
      </c>
      <c r="M257" s="27">
        <f t="shared" si="7"/>
        <v>1</v>
      </c>
    </row>
    <row r="258">
      <c r="K258" s="14">
        <f t="shared" si="41"/>
        <v>2.7</v>
      </c>
      <c r="L258" s="27">
        <v>0.0</v>
      </c>
      <c r="M258" s="27">
        <f t="shared" si="7"/>
        <v>1</v>
      </c>
    </row>
    <row r="259">
      <c r="K259" s="14">
        <f t="shared" si="41"/>
        <v>2.71</v>
      </c>
      <c r="L259" s="27">
        <v>0.0</v>
      </c>
      <c r="M259" s="27">
        <f t="shared" si="7"/>
        <v>1</v>
      </c>
    </row>
    <row r="260">
      <c r="K260" s="14">
        <f t="shared" si="41"/>
        <v>2.72</v>
      </c>
      <c r="L260" s="27">
        <v>0.0</v>
      </c>
      <c r="M260" s="27">
        <f t="shared" si="7"/>
        <v>1</v>
      </c>
    </row>
    <row r="261">
      <c r="K261" s="14">
        <f t="shared" si="41"/>
        <v>2.73</v>
      </c>
      <c r="L261" s="27">
        <v>0.0</v>
      </c>
      <c r="M261" s="27">
        <f t="shared" si="7"/>
        <v>1</v>
      </c>
    </row>
    <row r="262">
      <c r="K262" s="14">
        <f t="shared" si="41"/>
        <v>2.74</v>
      </c>
      <c r="L262" s="27">
        <v>0.0</v>
      </c>
      <c r="M262" s="27">
        <f t="shared" si="7"/>
        <v>1</v>
      </c>
    </row>
    <row r="263">
      <c r="K263" s="14">
        <f t="shared" si="41"/>
        <v>2.75</v>
      </c>
      <c r="L263" s="27">
        <v>0.0</v>
      </c>
      <c r="M263" s="27">
        <f t="shared" si="7"/>
        <v>1</v>
      </c>
    </row>
    <row r="264">
      <c r="K264" s="14">
        <f t="shared" si="41"/>
        <v>2.76</v>
      </c>
      <c r="L264" s="27">
        <v>0.0</v>
      </c>
      <c r="M264" s="27">
        <f t="shared" si="7"/>
        <v>1</v>
      </c>
    </row>
    <row r="265">
      <c r="K265" s="14">
        <f t="shared" si="41"/>
        <v>2.77</v>
      </c>
      <c r="L265" s="27">
        <v>0.0</v>
      </c>
      <c r="M265" s="27">
        <f t="shared" si="7"/>
        <v>1</v>
      </c>
    </row>
    <row r="266">
      <c r="K266" s="14">
        <f t="shared" si="41"/>
        <v>2.78</v>
      </c>
      <c r="L266" s="27">
        <v>0.0</v>
      </c>
      <c r="M266" s="27">
        <f t="shared" si="7"/>
        <v>1</v>
      </c>
    </row>
    <row r="267">
      <c r="K267" s="14">
        <f t="shared" si="41"/>
        <v>2.79</v>
      </c>
      <c r="L267" s="27">
        <v>0.0</v>
      </c>
      <c r="M267" s="27">
        <f t="shared" si="7"/>
        <v>1</v>
      </c>
    </row>
    <row r="268">
      <c r="K268" s="14">
        <f t="shared" si="41"/>
        <v>2.8</v>
      </c>
      <c r="L268" s="27">
        <v>0.0</v>
      </c>
      <c r="M268" s="27">
        <f t="shared" si="7"/>
        <v>1</v>
      </c>
    </row>
    <row r="269">
      <c r="K269" s="14">
        <f t="shared" si="41"/>
        <v>2.81</v>
      </c>
      <c r="L269" s="27">
        <v>0.0</v>
      </c>
      <c r="M269" s="27">
        <f t="shared" si="7"/>
        <v>1</v>
      </c>
    </row>
    <row r="270">
      <c r="K270" s="14">
        <f t="shared" si="41"/>
        <v>2.82</v>
      </c>
      <c r="L270" s="27">
        <v>0.0</v>
      </c>
      <c r="M270" s="27">
        <f t="shared" si="7"/>
        <v>1</v>
      </c>
    </row>
    <row r="271">
      <c r="K271" s="14">
        <f t="shared" si="41"/>
        <v>2.83</v>
      </c>
      <c r="L271" s="27">
        <v>0.0</v>
      </c>
      <c r="M271" s="27">
        <f t="shared" si="7"/>
        <v>1</v>
      </c>
    </row>
    <row r="272">
      <c r="K272" s="14">
        <f t="shared" si="41"/>
        <v>2.84</v>
      </c>
      <c r="L272" s="27">
        <v>0.0</v>
      </c>
      <c r="M272" s="27">
        <f t="shared" si="7"/>
        <v>1</v>
      </c>
    </row>
    <row r="273">
      <c r="K273" s="14">
        <f t="shared" si="41"/>
        <v>2.85</v>
      </c>
      <c r="L273" s="27">
        <v>0.0</v>
      </c>
      <c r="M273" s="27">
        <f t="shared" si="7"/>
        <v>1</v>
      </c>
    </row>
    <row r="274">
      <c r="K274" s="14">
        <f t="shared" si="41"/>
        <v>2.86</v>
      </c>
      <c r="L274" s="27">
        <v>0.0</v>
      </c>
      <c r="M274" s="27">
        <f t="shared" si="7"/>
        <v>1</v>
      </c>
    </row>
    <row r="275">
      <c r="K275" s="14">
        <f t="shared" si="41"/>
        <v>2.87</v>
      </c>
      <c r="L275" s="27">
        <v>0.0</v>
      </c>
      <c r="M275" s="27">
        <f t="shared" si="7"/>
        <v>1</v>
      </c>
    </row>
    <row r="276">
      <c r="K276" s="14">
        <f t="shared" si="41"/>
        <v>2.88</v>
      </c>
      <c r="L276" s="27">
        <v>0.0</v>
      </c>
      <c r="M276" s="27">
        <f t="shared" si="7"/>
        <v>1</v>
      </c>
    </row>
    <row r="277">
      <c r="K277" s="14">
        <f t="shared" si="41"/>
        <v>2.89</v>
      </c>
      <c r="L277" s="27">
        <v>0.0</v>
      </c>
      <c r="M277" s="27">
        <f t="shared" si="7"/>
        <v>1</v>
      </c>
    </row>
    <row r="278">
      <c r="K278" s="14">
        <f t="shared" si="41"/>
        <v>2.9</v>
      </c>
      <c r="L278" s="27">
        <v>0.0</v>
      </c>
      <c r="M278" s="27">
        <f t="shared" si="7"/>
        <v>1</v>
      </c>
    </row>
    <row r="279">
      <c r="K279" s="14">
        <f t="shared" si="41"/>
        <v>2.91</v>
      </c>
      <c r="L279" s="27">
        <v>0.0</v>
      </c>
      <c r="M279" s="27">
        <f t="shared" si="7"/>
        <v>1</v>
      </c>
    </row>
    <row r="280">
      <c r="K280" s="14">
        <f t="shared" si="41"/>
        <v>2.92</v>
      </c>
      <c r="L280" s="27">
        <v>0.0</v>
      </c>
      <c r="M280" s="27">
        <f t="shared" si="7"/>
        <v>1</v>
      </c>
    </row>
    <row r="281">
      <c r="K281" s="14">
        <f t="shared" si="41"/>
        <v>2.93</v>
      </c>
      <c r="L281" s="27">
        <v>0.0</v>
      </c>
      <c r="M281" s="27">
        <f t="shared" si="7"/>
        <v>1</v>
      </c>
    </row>
    <row r="282">
      <c r="K282" s="14">
        <f t="shared" si="41"/>
        <v>2.94</v>
      </c>
      <c r="L282" s="27">
        <v>0.0</v>
      </c>
      <c r="M282" s="27">
        <f t="shared" si="7"/>
        <v>1</v>
      </c>
    </row>
    <row r="283">
      <c r="K283" s="14">
        <f t="shared" si="41"/>
        <v>2.95</v>
      </c>
      <c r="L283" s="27">
        <v>0.0</v>
      </c>
      <c r="M283" s="27">
        <f t="shared" si="7"/>
        <v>1</v>
      </c>
    </row>
    <row r="284">
      <c r="K284" s="14">
        <f t="shared" si="41"/>
        <v>2.96</v>
      </c>
      <c r="L284" s="27">
        <v>0.0</v>
      </c>
      <c r="M284" s="27">
        <f t="shared" si="7"/>
        <v>1</v>
      </c>
    </row>
    <row r="285">
      <c r="K285" s="14">
        <f t="shared" si="41"/>
        <v>2.97</v>
      </c>
      <c r="L285" s="27">
        <v>0.0</v>
      </c>
      <c r="M285" s="27">
        <f t="shared" si="7"/>
        <v>1</v>
      </c>
    </row>
    <row r="286">
      <c r="K286" s="14">
        <f t="shared" si="41"/>
        <v>2.98</v>
      </c>
      <c r="L286" s="27">
        <v>0.0</v>
      </c>
      <c r="M286" s="27">
        <f t="shared" si="7"/>
        <v>1</v>
      </c>
    </row>
    <row r="287">
      <c r="K287" s="14">
        <f t="shared" si="41"/>
        <v>2.99</v>
      </c>
      <c r="L287" s="27">
        <v>0.0</v>
      </c>
      <c r="M287" s="27">
        <f t="shared" si="7"/>
        <v>1</v>
      </c>
    </row>
    <row r="288">
      <c r="K288" s="14">
        <f t="shared" si="41"/>
        <v>3</v>
      </c>
      <c r="L288" s="27">
        <v>0.0</v>
      </c>
      <c r="M288" s="27">
        <f t="shared" si="7"/>
        <v>1</v>
      </c>
    </row>
    <row r="289">
      <c r="K289" s="14">
        <f t="shared" si="41"/>
        <v>3.01</v>
      </c>
      <c r="L289" s="27">
        <v>0.0</v>
      </c>
      <c r="M289" s="27">
        <f t="shared" si="7"/>
        <v>1</v>
      </c>
    </row>
    <row r="290">
      <c r="K290" s="14">
        <f t="shared" si="41"/>
        <v>3.02</v>
      </c>
      <c r="L290" s="27">
        <v>0.0</v>
      </c>
      <c r="M290" s="27">
        <f t="shared" si="7"/>
        <v>1</v>
      </c>
    </row>
    <row r="291">
      <c r="K291" s="14">
        <f t="shared" si="41"/>
        <v>3.03</v>
      </c>
      <c r="L291" s="27">
        <v>0.0</v>
      </c>
      <c r="M291" s="27">
        <f t="shared" si="7"/>
        <v>1</v>
      </c>
    </row>
    <row r="292">
      <c r="K292" s="14">
        <f t="shared" si="41"/>
        <v>3.04</v>
      </c>
      <c r="L292" s="27">
        <v>0.0</v>
      </c>
      <c r="M292" s="27">
        <f t="shared" si="7"/>
        <v>1</v>
      </c>
    </row>
    <row r="293">
      <c r="K293" s="14">
        <f t="shared" si="41"/>
        <v>3.05</v>
      </c>
      <c r="L293" s="27">
        <v>0.0</v>
      </c>
      <c r="M293" s="27">
        <f t="shared" si="7"/>
        <v>1</v>
      </c>
    </row>
    <row r="294">
      <c r="K294" s="14">
        <f t="shared" si="41"/>
        <v>3.06</v>
      </c>
      <c r="L294" s="27">
        <v>0.0</v>
      </c>
      <c r="M294" s="27">
        <f t="shared" si="7"/>
        <v>1</v>
      </c>
    </row>
    <row r="295">
      <c r="K295" s="14">
        <f t="shared" si="41"/>
        <v>3.07</v>
      </c>
      <c r="L295" s="27">
        <v>0.0</v>
      </c>
      <c r="M295" s="27">
        <f t="shared" si="7"/>
        <v>1</v>
      </c>
    </row>
    <row r="296">
      <c r="K296" s="14">
        <f t="shared" si="41"/>
        <v>3.08</v>
      </c>
      <c r="L296" s="27">
        <v>0.0</v>
      </c>
      <c r="M296" s="27">
        <f t="shared" si="7"/>
        <v>1</v>
      </c>
    </row>
    <row r="297">
      <c r="K297" s="14">
        <f t="shared" si="41"/>
        <v>3.09</v>
      </c>
      <c r="L297" s="27">
        <v>0.0</v>
      </c>
      <c r="M297" s="27">
        <f t="shared" si="7"/>
        <v>1</v>
      </c>
    </row>
    <row r="298">
      <c r="K298" s="14">
        <f t="shared" si="41"/>
        <v>3.1</v>
      </c>
      <c r="L298" s="27">
        <v>0.0</v>
      </c>
      <c r="M298" s="27">
        <f t="shared" si="7"/>
        <v>1</v>
      </c>
    </row>
    <row r="299">
      <c r="K299" s="14">
        <f t="shared" si="41"/>
        <v>3.11</v>
      </c>
      <c r="L299" s="27">
        <v>0.0</v>
      </c>
      <c r="M299" s="27">
        <f t="shared" si="7"/>
        <v>1</v>
      </c>
    </row>
    <row r="300">
      <c r="K300" s="14">
        <f t="shared" si="41"/>
        <v>3.12</v>
      </c>
      <c r="L300" s="27">
        <v>0.0</v>
      </c>
      <c r="M300" s="27">
        <f t="shared" si="7"/>
        <v>1</v>
      </c>
    </row>
    <row r="301">
      <c r="K301" s="14">
        <f t="shared" si="41"/>
        <v>3.13</v>
      </c>
      <c r="L301" s="27">
        <v>0.0</v>
      </c>
      <c r="M301" s="27">
        <f t="shared" si="7"/>
        <v>1</v>
      </c>
    </row>
    <row r="302">
      <c r="K302" s="14">
        <f t="shared" si="41"/>
        <v>3.14</v>
      </c>
      <c r="L302" s="27">
        <v>0.0</v>
      </c>
      <c r="M302" s="27">
        <f t="shared" si="7"/>
        <v>1</v>
      </c>
    </row>
    <row r="303">
      <c r="K303" s="14">
        <f t="shared" si="41"/>
        <v>3.15</v>
      </c>
      <c r="L303" s="27">
        <v>0.0</v>
      </c>
      <c r="M303" s="27">
        <f t="shared" si="7"/>
        <v>1</v>
      </c>
    </row>
    <row r="304">
      <c r="K304" s="14">
        <f t="shared" si="41"/>
        <v>3.16</v>
      </c>
      <c r="L304" s="27">
        <v>0.0</v>
      </c>
      <c r="M304" s="27">
        <f t="shared" si="7"/>
        <v>1</v>
      </c>
    </row>
    <row r="305">
      <c r="K305" s="14">
        <f t="shared" si="41"/>
        <v>3.17</v>
      </c>
      <c r="L305" s="27">
        <v>0.0</v>
      </c>
      <c r="M305" s="27">
        <f t="shared" si="7"/>
        <v>1</v>
      </c>
    </row>
    <row r="306">
      <c r="K306" s="14">
        <f t="shared" si="41"/>
        <v>3.18</v>
      </c>
      <c r="L306" s="27">
        <v>0.0</v>
      </c>
      <c r="M306" s="27">
        <f t="shared" si="7"/>
        <v>1</v>
      </c>
    </row>
    <row r="307">
      <c r="K307" s="14">
        <f t="shared" si="41"/>
        <v>3.19</v>
      </c>
      <c r="L307" s="27">
        <v>0.0</v>
      </c>
      <c r="M307" s="27">
        <f t="shared" si="7"/>
        <v>1</v>
      </c>
    </row>
    <row r="308">
      <c r="K308" s="14">
        <f t="shared" si="41"/>
        <v>3.2</v>
      </c>
      <c r="L308" s="27">
        <v>0.0</v>
      </c>
      <c r="M308" s="27">
        <f t="shared" si="7"/>
        <v>1</v>
      </c>
    </row>
    <row r="309">
      <c r="K309" s="14">
        <f t="shared" si="41"/>
        <v>3.21</v>
      </c>
      <c r="L309" s="27">
        <v>0.0</v>
      </c>
      <c r="M309" s="27">
        <f t="shared" si="7"/>
        <v>1</v>
      </c>
    </row>
    <row r="310">
      <c r="K310" s="14">
        <f t="shared" si="41"/>
        <v>3.22</v>
      </c>
      <c r="L310" s="27">
        <v>0.0</v>
      </c>
      <c r="M310" s="27">
        <f t="shared" si="7"/>
        <v>1</v>
      </c>
    </row>
    <row r="311">
      <c r="K311" s="14">
        <f t="shared" si="41"/>
        <v>3.23</v>
      </c>
      <c r="L311" s="27">
        <v>0.0</v>
      </c>
      <c r="M311" s="27">
        <f t="shared" si="7"/>
        <v>1</v>
      </c>
    </row>
    <row r="312">
      <c r="K312" s="14">
        <f t="shared" si="41"/>
        <v>3.24</v>
      </c>
      <c r="L312" s="27">
        <v>0.0</v>
      </c>
      <c r="M312" s="27">
        <f t="shared" si="7"/>
        <v>1</v>
      </c>
    </row>
    <row r="313">
      <c r="K313" s="14">
        <f t="shared" si="41"/>
        <v>3.25</v>
      </c>
      <c r="L313" s="27">
        <v>0.0</v>
      </c>
      <c r="M313" s="27">
        <f t="shared" si="7"/>
        <v>1</v>
      </c>
    </row>
    <row r="314">
      <c r="K314" s="14">
        <f t="shared" si="41"/>
        <v>3.26</v>
      </c>
      <c r="L314" s="27">
        <v>0.0</v>
      </c>
      <c r="M314" s="27">
        <f t="shared" si="7"/>
        <v>1</v>
      </c>
    </row>
    <row r="315">
      <c r="K315" s="14">
        <f t="shared" si="41"/>
        <v>3.27</v>
      </c>
      <c r="L315" s="27">
        <v>0.0</v>
      </c>
      <c r="M315" s="27">
        <f t="shared" si="7"/>
        <v>1</v>
      </c>
    </row>
    <row r="316">
      <c r="K316" s="14">
        <f t="shared" si="41"/>
        <v>3.28</v>
      </c>
      <c r="L316" s="27">
        <v>0.0</v>
      </c>
      <c r="M316" s="27">
        <f t="shared" si="7"/>
        <v>1</v>
      </c>
    </row>
    <row r="317">
      <c r="K317" s="14">
        <f t="shared" si="41"/>
        <v>3.29</v>
      </c>
      <c r="L317" s="27">
        <v>0.0</v>
      </c>
      <c r="M317" s="27">
        <f t="shared" si="7"/>
        <v>1</v>
      </c>
    </row>
    <row r="318">
      <c r="K318" s="14">
        <f t="shared" si="41"/>
        <v>3.3</v>
      </c>
      <c r="L318" s="27">
        <v>0.0</v>
      </c>
      <c r="M318" s="27">
        <f t="shared" si="7"/>
        <v>1</v>
      </c>
    </row>
    <row r="319">
      <c r="K319" s="14">
        <f t="shared" si="41"/>
        <v>3.31</v>
      </c>
      <c r="L319" s="27">
        <v>0.0</v>
      </c>
      <c r="M319" s="27">
        <f t="shared" si="7"/>
        <v>1</v>
      </c>
    </row>
    <row r="320">
      <c r="K320" s="14">
        <f t="shared" si="41"/>
        <v>3.32</v>
      </c>
      <c r="L320" s="27">
        <v>0.0</v>
      </c>
      <c r="M320" s="27">
        <f t="shared" si="7"/>
        <v>1</v>
      </c>
    </row>
    <row r="321">
      <c r="K321" s="14">
        <f t="shared" si="41"/>
        <v>3.33</v>
      </c>
      <c r="L321" s="27">
        <v>0.0</v>
      </c>
      <c r="M321" s="27">
        <f t="shared" si="7"/>
        <v>1</v>
      </c>
    </row>
    <row r="322">
      <c r="K322" s="14">
        <f t="shared" si="41"/>
        <v>3.34</v>
      </c>
      <c r="L322" s="27">
        <v>0.0</v>
      </c>
      <c r="M322" s="27">
        <f t="shared" si="7"/>
        <v>1</v>
      </c>
    </row>
    <row r="323">
      <c r="K323" s="14">
        <f t="shared" si="41"/>
        <v>3.35</v>
      </c>
      <c r="L323" s="27">
        <v>0.0</v>
      </c>
      <c r="M323" s="27">
        <f t="shared" si="7"/>
        <v>1</v>
      </c>
    </row>
    <row r="324">
      <c r="K324" s="14">
        <f t="shared" si="41"/>
        <v>3.36</v>
      </c>
      <c r="L324" s="27">
        <v>0.0</v>
      </c>
      <c r="M324" s="27">
        <f t="shared" si="7"/>
        <v>1</v>
      </c>
    </row>
    <row r="325">
      <c r="K325" s="14">
        <f t="shared" si="41"/>
        <v>3.37</v>
      </c>
      <c r="L325" s="27">
        <v>0.0</v>
      </c>
      <c r="M325" s="27">
        <f t="shared" si="7"/>
        <v>1</v>
      </c>
    </row>
    <row r="326">
      <c r="K326" s="14">
        <f t="shared" si="41"/>
        <v>3.38</v>
      </c>
      <c r="L326" s="27">
        <v>0.0</v>
      </c>
      <c r="M326" s="27">
        <f t="shared" si="7"/>
        <v>1</v>
      </c>
    </row>
    <row r="327">
      <c r="K327" s="14">
        <f t="shared" si="41"/>
        <v>3.39</v>
      </c>
      <c r="L327" s="27">
        <v>0.0</v>
      </c>
      <c r="M327" s="27">
        <f t="shared" si="7"/>
        <v>1</v>
      </c>
    </row>
    <row r="328">
      <c r="K328" s="14">
        <f t="shared" si="41"/>
        <v>3.4</v>
      </c>
      <c r="L328" s="27">
        <v>0.0</v>
      </c>
      <c r="M328" s="27">
        <f t="shared" si="7"/>
        <v>1</v>
      </c>
    </row>
    <row r="329">
      <c r="K329" s="14">
        <f t="shared" si="41"/>
        <v>3.41</v>
      </c>
      <c r="L329" s="27">
        <v>0.0</v>
      </c>
      <c r="M329" s="27">
        <f t="shared" si="7"/>
        <v>1</v>
      </c>
    </row>
    <row r="330">
      <c r="K330" s="14">
        <f t="shared" si="41"/>
        <v>3.42</v>
      </c>
      <c r="L330" s="27">
        <v>0.0</v>
      </c>
      <c r="M330" s="27">
        <f t="shared" si="7"/>
        <v>1</v>
      </c>
    </row>
    <row r="331">
      <c r="K331" s="14">
        <f t="shared" si="41"/>
        <v>3.43</v>
      </c>
      <c r="L331" s="27">
        <v>0.0</v>
      </c>
      <c r="M331" s="27">
        <f t="shared" si="7"/>
        <v>1</v>
      </c>
    </row>
    <row r="332">
      <c r="K332" s="14">
        <f t="shared" si="41"/>
        <v>3.44</v>
      </c>
      <c r="L332" s="27">
        <v>0.0</v>
      </c>
      <c r="M332" s="27">
        <f t="shared" si="7"/>
        <v>1</v>
      </c>
    </row>
    <row r="333">
      <c r="K333" s="14">
        <f t="shared" si="41"/>
        <v>3.45</v>
      </c>
      <c r="L333" s="27">
        <v>0.0</v>
      </c>
      <c r="M333" s="27">
        <f t="shared" si="7"/>
        <v>1</v>
      </c>
    </row>
    <row r="334">
      <c r="K334" s="14">
        <f t="shared" si="41"/>
        <v>3.46</v>
      </c>
      <c r="L334" s="27">
        <v>0.0</v>
      </c>
      <c r="M334" s="27">
        <f t="shared" si="7"/>
        <v>1</v>
      </c>
    </row>
    <row r="335">
      <c r="K335" s="14">
        <f t="shared" si="41"/>
        <v>3.47</v>
      </c>
      <c r="L335" s="27">
        <v>0.0</v>
      </c>
      <c r="M335" s="27">
        <f t="shared" si="7"/>
        <v>1</v>
      </c>
    </row>
    <row r="336">
      <c r="K336" s="14">
        <f t="shared" si="41"/>
        <v>3.48</v>
      </c>
      <c r="L336" s="27">
        <v>0.0</v>
      </c>
      <c r="M336" s="27">
        <f t="shared" si="7"/>
        <v>1</v>
      </c>
    </row>
    <row r="337">
      <c r="K337" s="14">
        <f t="shared" si="41"/>
        <v>3.49</v>
      </c>
      <c r="L337" s="27">
        <v>0.0</v>
      </c>
      <c r="M337" s="27">
        <f t="shared" si="7"/>
        <v>1</v>
      </c>
    </row>
    <row r="338">
      <c r="K338" s="14">
        <f t="shared" si="41"/>
        <v>3.5</v>
      </c>
      <c r="L338" s="27">
        <v>0.0</v>
      </c>
      <c r="M338" s="27">
        <f t="shared" si="7"/>
        <v>1</v>
      </c>
    </row>
    <row r="339">
      <c r="K339" s="14">
        <f t="shared" si="41"/>
        <v>3.51</v>
      </c>
      <c r="L339" s="27">
        <v>0.0</v>
      </c>
      <c r="M339" s="27">
        <f t="shared" si="7"/>
        <v>1</v>
      </c>
    </row>
    <row r="340">
      <c r="K340" s="14">
        <f t="shared" si="41"/>
        <v>3.52</v>
      </c>
      <c r="L340" s="27">
        <v>0.0</v>
      </c>
      <c r="M340" s="27">
        <f t="shared" si="7"/>
        <v>1</v>
      </c>
    </row>
    <row r="341">
      <c r="K341" s="14">
        <f t="shared" si="41"/>
        <v>3.53</v>
      </c>
      <c r="L341" s="27">
        <v>0.0</v>
      </c>
      <c r="M341" s="27">
        <f t="shared" si="7"/>
        <v>1</v>
      </c>
    </row>
    <row r="342">
      <c r="K342" s="14">
        <f t="shared" si="41"/>
        <v>3.54</v>
      </c>
      <c r="L342" s="27">
        <v>0.0</v>
      </c>
      <c r="M342" s="27">
        <f t="shared" si="7"/>
        <v>1</v>
      </c>
    </row>
    <row r="343">
      <c r="K343" s="14">
        <f t="shared" si="41"/>
        <v>3.55</v>
      </c>
      <c r="L343" s="27">
        <v>0.0</v>
      </c>
      <c r="M343" s="27">
        <f t="shared" si="7"/>
        <v>1</v>
      </c>
    </row>
    <row r="344">
      <c r="K344" s="14">
        <f t="shared" si="41"/>
        <v>3.56</v>
      </c>
      <c r="L344" s="27">
        <v>0.0</v>
      </c>
      <c r="M344" s="27">
        <f t="shared" si="7"/>
        <v>1</v>
      </c>
    </row>
    <row r="345">
      <c r="K345" s="14">
        <f t="shared" si="41"/>
        <v>3.57</v>
      </c>
      <c r="L345" s="27">
        <v>0.0</v>
      </c>
      <c r="M345" s="27">
        <f t="shared" si="7"/>
        <v>1</v>
      </c>
    </row>
    <row r="346">
      <c r="K346" s="14">
        <f t="shared" si="41"/>
        <v>3.58</v>
      </c>
      <c r="L346" s="27">
        <v>0.0</v>
      </c>
      <c r="M346" s="27">
        <f t="shared" si="7"/>
        <v>1</v>
      </c>
    </row>
    <row r="347">
      <c r="K347" s="14">
        <f t="shared" si="41"/>
        <v>3.59</v>
      </c>
      <c r="L347" s="27">
        <v>0.0</v>
      </c>
      <c r="M347" s="27">
        <f t="shared" si="7"/>
        <v>1</v>
      </c>
    </row>
    <row r="348">
      <c r="K348" s="14">
        <f t="shared" si="41"/>
        <v>3.6</v>
      </c>
      <c r="L348" s="27">
        <v>0.0</v>
      </c>
      <c r="M348" s="27">
        <f t="shared" si="7"/>
        <v>1</v>
      </c>
    </row>
    <row r="349">
      <c r="K349" s="14">
        <f t="shared" si="41"/>
        <v>3.61</v>
      </c>
      <c r="L349" s="27">
        <v>0.0</v>
      </c>
      <c r="M349" s="27">
        <f t="shared" si="7"/>
        <v>1</v>
      </c>
    </row>
    <row r="350">
      <c r="K350" s="14">
        <f t="shared" si="41"/>
        <v>3.62</v>
      </c>
      <c r="L350" s="27">
        <v>0.0</v>
      </c>
      <c r="M350" s="27">
        <f t="shared" si="7"/>
        <v>1</v>
      </c>
    </row>
    <row r="351">
      <c r="K351" s="14">
        <f t="shared" si="41"/>
        <v>3.63</v>
      </c>
      <c r="L351" s="27">
        <v>0.0</v>
      </c>
      <c r="M351" s="27">
        <f t="shared" si="7"/>
        <v>1</v>
      </c>
    </row>
    <row r="352">
      <c r="K352" s="14">
        <f t="shared" si="41"/>
        <v>3.64</v>
      </c>
      <c r="L352" s="27">
        <v>0.0</v>
      </c>
      <c r="M352" s="27">
        <f t="shared" si="7"/>
        <v>1</v>
      </c>
    </row>
    <row r="353">
      <c r="K353" s="14">
        <f t="shared" si="41"/>
        <v>3.65</v>
      </c>
      <c r="L353" s="27">
        <v>0.0</v>
      </c>
      <c r="M353" s="27">
        <f t="shared" si="7"/>
        <v>1</v>
      </c>
    </row>
    <row r="354">
      <c r="K354" s="14">
        <f t="shared" si="41"/>
        <v>3.66</v>
      </c>
      <c r="L354" s="27">
        <v>0.0</v>
      </c>
      <c r="M354" s="27">
        <f t="shared" si="7"/>
        <v>1</v>
      </c>
    </row>
    <row r="355">
      <c r="K355" s="14">
        <f t="shared" si="41"/>
        <v>3.67</v>
      </c>
      <c r="L355" s="27">
        <v>0.0</v>
      </c>
      <c r="M355" s="27">
        <f t="shared" si="7"/>
        <v>1</v>
      </c>
    </row>
    <row r="356">
      <c r="K356" s="14">
        <f t="shared" si="41"/>
        <v>3.68</v>
      </c>
      <c r="L356" s="27">
        <v>0.0</v>
      </c>
      <c r="M356" s="27">
        <f t="shared" si="7"/>
        <v>1</v>
      </c>
    </row>
    <row r="357">
      <c r="K357" s="14">
        <f t="shared" si="41"/>
        <v>3.69</v>
      </c>
      <c r="L357" s="27">
        <v>0.0</v>
      </c>
      <c r="M357" s="27">
        <f t="shared" si="7"/>
        <v>1</v>
      </c>
    </row>
    <row r="358">
      <c r="K358" s="14">
        <f t="shared" si="41"/>
        <v>3.7</v>
      </c>
      <c r="L358" s="27">
        <v>0.0</v>
      </c>
      <c r="M358" s="27">
        <f t="shared" si="7"/>
        <v>1</v>
      </c>
    </row>
    <row r="359">
      <c r="K359" s="14">
        <f t="shared" si="41"/>
        <v>3.71</v>
      </c>
      <c r="L359" s="27">
        <v>0.0</v>
      </c>
      <c r="M359" s="27">
        <f t="shared" si="7"/>
        <v>1</v>
      </c>
    </row>
    <row r="360">
      <c r="K360" s="14">
        <f t="shared" si="41"/>
        <v>3.72</v>
      </c>
      <c r="L360" s="27">
        <v>0.0</v>
      </c>
      <c r="M360" s="27">
        <f t="shared" si="7"/>
        <v>1</v>
      </c>
    </row>
    <row r="361">
      <c r="K361" s="14">
        <f t="shared" si="41"/>
        <v>3.73</v>
      </c>
      <c r="L361" s="27">
        <v>0.0</v>
      </c>
      <c r="M361" s="27">
        <f t="shared" si="7"/>
        <v>1</v>
      </c>
    </row>
    <row r="362">
      <c r="K362" s="14">
        <f t="shared" si="41"/>
        <v>3.74</v>
      </c>
      <c r="L362" s="27">
        <v>0.0</v>
      </c>
      <c r="M362" s="27">
        <f t="shared" si="7"/>
        <v>1</v>
      </c>
    </row>
    <row r="363">
      <c r="K363" s="14">
        <f t="shared" si="41"/>
        <v>3.75</v>
      </c>
      <c r="L363" s="27">
        <v>0.0</v>
      </c>
      <c r="M363" s="27">
        <f t="shared" si="7"/>
        <v>1</v>
      </c>
    </row>
    <row r="364">
      <c r="K364" s="14">
        <f t="shared" si="41"/>
        <v>3.76</v>
      </c>
      <c r="L364" s="27">
        <v>0.0</v>
      </c>
      <c r="M364" s="27">
        <f t="shared" si="7"/>
        <v>1</v>
      </c>
    </row>
    <row r="365">
      <c r="K365" s="14">
        <f t="shared" si="41"/>
        <v>3.77</v>
      </c>
      <c r="L365" s="27">
        <v>0.0</v>
      </c>
      <c r="M365" s="27">
        <f t="shared" si="7"/>
        <v>1</v>
      </c>
    </row>
    <row r="366">
      <c r="K366" s="14">
        <f t="shared" si="41"/>
        <v>3.78</v>
      </c>
      <c r="L366" s="27">
        <v>0.0</v>
      </c>
      <c r="M366" s="27">
        <f t="shared" si="7"/>
        <v>1</v>
      </c>
    </row>
    <row r="367">
      <c r="K367" s="14">
        <f t="shared" si="41"/>
        <v>3.79</v>
      </c>
      <c r="L367" s="27">
        <v>0.0</v>
      </c>
      <c r="M367" s="27">
        <f t="shared" si="7"/>
        <v>1</v>
      </c>
    </row>
    <row r="368">
      <c r="K368" s="14">
        <f t="shared" si="41"/>
        <v>3.8</v>
      </c>
      <c r="L368" s="27">
        <v>0.0</v>
      </c>
      <c r="M368" s="27">
        <f t="shared" si="7"/>
        <v>1</v>
      </c>
    </row>
    <row r="369">
      <c r="K369" s="14">
        <f t="shared" si="41"/>
        <v>3.81</v>
      </c>
      <c r="L369" s="27">
        <v>0.0</v>
      </c>
      <c r="M369" s="27">
        <f t="shared" si="7"/>
        <v>1</v>
      </c>
    </row>
    <row r="370">
      <c r="K370" s="14">
        <f t="shared" si="41"/>
        <v>3.82</v>
      </c>
      <c r="L370" s="27">
        <v>0.0</v>
      </c>
      <c r="M370" s="27">
        <f t="shared" si="7"/>
        <v>1</v>
      </c>
    </row>
    <row r="371">
      <c r="K371" s="14">
        <f t="shared" si="41"/>
        <v>3.83</v>
      </c>
      <c r="L371" s="27">
        <v>0.0</v>
      </c>
      <c r="M371" s="27">
        <f t="shared" si="7"/>
        <v>1</v>
      </c>
    </row>
    <row r="372">
      <c r="K372" s="14">
        <f t="shared" si="41"/>
        <v>3.84</v>
      </c>
      <c r="L372" s="27">
        <v>0.0</v>
      </c>
      <c r="M372" s="27">
        <f t="shared" si="7"/>
        <v>1</v>
      </c>
    </row>
    <row r="373">
      <c r="K373" s="14">
        <f t="shared" si="41"/>
        <v>3.85</v>
      </c>
      <c r="L373" s="27">
        <v>0.0</v>
      </c>
      <c r="M373" s="27">
        <f t="shared" si="7"/>
        <v>1</v>
      </c>
    </row>
    <row r="374">
      <c r="K374" s="14">
        <f t="shared" si="41"/>
        <v>3.86</v>
      </c>
      <c r="L374" s="27">
        <v>0.0</v>
      </c>
      <c r="M374" s="27">
        <f t="shared" si="7"/>
        <v>1</v>
      </c>
    </row>
    <row r="375">
      <c r="K375" s="14">
        <f t="shared" si="41"/>
        <v>3.87</v>
      </c>
      <c r="L375" s="27">
        <v>0.0</v>
      </c>
      <c r="M375" s="27">
        <f t="shared" si="7"/>
        <v>1</v>
      </c>
    </row>
    <row r="376">
      <c r="K376" s="14">
        <f t="shared" si="41"/>
        <v>3.88</v>
      </c>
      <c r="L376" s="27">
        <v>0.0</v>
      </c>
      <c r="M376" s="27">
        <f t="shared" si="7"/>
        <v>1</v>
      </c>
    </row>
    <row r="377">
      <c r="K377" s="14">
        <f t="shared" si="41"/>
        <v>3.89</v>
      </c>
      <c r="L377" s="27">
        <v>0.0</v>
      </c>
      <c r="M377" s="27">
        <f t="shared" si="7"/>
        <v>1</v>
      </c>
    </row>
    <row r="378">
      <c r="K378" s="14">
        <f t="shared" si="41"/>
        <v>3.9</v>
      </c>
      <c r="L378" s="27">
        <v>0.0</v>
      </c>
      <c r="M378" s="27">
        <f t="shared" si="7"/>
        <v>1</v>
      </c>
    </row>
    <row r="379">
      <c r="K379" s="14">
        <f t="shared" si="41"/>
        <v>3.91</v>
      </c>
      <c r="L379" s="27">
        <v>0.0</v>
      </c>
      <c r="M379" s="27">
        <f t="shared" si="7"/>
        <v>1</v>
      </c>
    </row>
    <row r="380">
      <c r="K380" s="14">
        <f t="shared" si="41"/>
        <v>3.92</v>
      </c>
      <c r="L380" s="27">
        <v>0.0</v>
      </c>
      <c r="M380" s="27">
        <f t="shared" si="7"/>
        <v>1</v>
      </c>
    </row>
    <row r="381">
      <c r="K381" s="14">
        <f t="shared" si="41"/>
        <v>3.93</v>
      </c>
      <c r="L381" s="27">
        <v>0.0</v>
      </c>
      <c r="M381" s="27">
        <f t="shared" si="7"/>
        <v>1</v>
      </c>
    </row>
    <row r="382">
      <c r="K382" s="14">
        <f t="shared" si="41"/>
        <v>3.94</v>
      </c>
      <c r="L382" s="27">
        <v>0.0</v>
      </c>
      <c r="M382" s="27">
        <f t="shared" si="7"/>
        <v>1</v>
      </c>
    </row>
    <row r="383">
      <c r="K383" s="14">
        <f t="shared" si="41"/>
        <v>3.95</v>
      </c>
      <c r="L383" s="27">
        <v>0.0</v>
      </c>
      <c r="M383" s="27">
        <f t="shared" si="7"/>
        <v>1</v>
      </c>
    </row>
    <row r="384">
      <c r="K384" s="14">
        <f t="shared" si="41"/>
        <v>3.96</v>
      </c>
      <c r="L384" s="27">
        <v>0.0</v>
      </c>
      <c r="M384" s="27">
        <f t="shared" si="7"/>
        <v>1</v>
      </c>
    </row>
    <row r="385">
      <c r="K385" s="14">
        <f t="shared" si="41"/>
        <v>3.97</v>
      </c>
      <c r="L385" s="27">
        <v>0.0</v>
      </c>
      <c r="M385" s="27">
        <f t="shared" si="7"/>
        <v>1</v>
      </c>
    </row>
    <row r="386">
      <c r="K386" s="14">
        <f t="shared" si="41"/>
        <v>3.98</v>
      </c>
      <c r="L386" s="27">
        <v>0.0</v>
      </c>
      <c r="M386" s="27">
        <f t="shared" si="7"/>
        <v>1</v>
      </c>
    </row>
    <row r="387">
      <c r="K387" s="14">
        <f t="shared" si="41"/>
        <v>3.99</v>
      </c>
      <c r="L387" s="27">
        <v>0.0</v>
      </c>
      <c r="M387" s="27">
        <f t="shared" si="7"/>
        <v>1</v>
      </c>
    </row>
    <row r="388">
      <c r="K388" s="14">
        <f t="shared" si="41"/>
        <v>4</v>
      </c>
      <c r="L388" s="27">
        <v>0.0</v>
      </c>
      <c r="M388" s="27">
        <f t="shared" si="7"/>
        <v>1</v>
      </c>
    </row>
    <row r="389">
      <c r="K389" s="14">
        <f t="shared" si="41"/>
        <v>4.01</v>
      </c>
      <c r="L389" s="27">
        <v>0.0</v>
      </c>
      <c r="M389" s="27">
        <f t="shared" si="7"/>
        <v>1</v>
      </c>
    </row>
    <row r="390">
      <c r="K390" s="14">
        <f t="shared" si="41"/>
        <v>4.02</v>
      </c>
      <c r="L390" s="27">
        <v>0.0</v>
      </c>
      <c r="M390" s="27">
        <f t="shared" si="7"/>
        <v>1</v>
      </c>
    </row>
    <row r="391">
      <c r="K391" s="14">
        <f t="shared" si="41"/>
        <v>4.03</v>
      </c>
      <c r="L391" s="27">
        <v>0.0</v>
      </c>
      <c r="M391" s="27">
        <f t="shared" si="7"/>
        <v>1</v>
      </c>
    </row>
    <row r="392">
      <c r="K392" s="14">
        <f t="shared" si="41"/>
        <v>4.04</v>
      </c>
      <c r="L392" s="27">
        <v>0.0</v>
      </c>
      <c r="M392" s="27">
        <f t="shared" si="7"/>
        <v>1</v>
      </c>
    </row>
    <row r="393">
      <c r="K393" s="14">
        <f t="shared" si="41"/>
        <v>4.05</v>
      </c>
      <c r="L393" s="27">
        <v>0.0</v>
      </c>
      <c r="M393" s="27">
        <f t="shared" si="7"/>
        <v>1</v>
      </c>
    </row>
    <row r="394">
      <c r="K394" s="14">
        <f t="shared" si="41"/>
        <v>4.06</v>
      </c>
      <c r="L394" s="27">
        <v>0.0</v>
      </c>
      <c r="M394" s="27">
        <f t="shared" si="7"/>
        <v>1</v>
      </c>
    </row>
    <row r="395">
      <c r="K395" s="14">
        <f t="shared" si="41"/>
        <v>4.07</v>
      </c>
      <c r="L395" s="27">
        <v>0.0</v>
      </c>
      <c r="M395" s="27">
        <f t="shared" si="7"/>
        <v>1</v>
      </c>
    </row>
    <row r="396">
      <c r="K396" s="14">
        <f t="shared" si="41"/>
        <v>4.08</v>
      </c>
      <c r="L396" s="27">
        <v>0.0</v>
      </c>
      <c r="M396" s="27">
        <f t="shared" si="7"/>
        <v>1</v>
      </c>
    </row>
    <row r="397">
      <c r="K397" s="14">
        <f t="shared" si="41"/>
        <v>4.09</v>
      </c>
      <c r="L397" s="27">
        <v>0.0</v>
      </c>
      <c r="M397" s="27">
        <f t="shared" si="7"/>
        <v>1</v>
      </c>
    </row>
    <row r="398">
      <c r="K398" s="14">
        <f t="shared" si="41"/>
        <v>4.1</v>
      </c>
      <c r="L398" s="27">
        <v>0.0</v>
      </c>
      <c r="M398" s="27">
        <f t="shared" si="7"/>
        <v>1</v>
      </c>
    </row>
    <row r="399">
      <c r="K399" s="14">
        <f t="shared" si="41"/>
        <v>4.11</v>
      </c>
      <c r="L399" s="27">
        <v>0.0</v>
      </c>
      <c r="M399" s="27">
        <f t="shared" si="7"/>
        <v>1</v>
      </c>
    </row>
    <row r="400">
      <c r="K400" s="14">
        <f t="shared" si="41"/>
        <v>4.12</v>
      </c>
      <c r="L400" s="27">
        <v>0.0</v>
      </c>
      <c r="M400" s="27">
        <f t="shared" si="7"/>
        <v>1</v>
      </c>
    </row>
    <row r="401">
      <c r="K401" s="14">
        <f t="shared" si="41"/>
        <v>4.13</v>
      </c>
      <c r="L401" s="27">
        <v>0.0</v>
      </c>
      <c r="M401" s="27">
        <f t="shared" si="7"/>
        <v>1</v>
      </c>
    </row>
    <row r="402">
      <c r="K402" s="14">
        <f t="shared" si="41"/>
        <v>4.14</v>
      </c>
      <c r="L402" s="27">
        <v>0.0</v>
      </c>
      <c r="M402" s="27">
        <f t="shared" si="7"/>
        <v>1</v>
      </c>
    </row>
    <row r="403">
      <c r="K403" s="14">
        <f t="shared" si="41"/>
        <v>4.15</v>
      </c>
      <c r="L403" s="27">
        <v>0.0</v>
      </c>
      <c r="M403" s="27">
        <f t="shared" si="7"/>
        <v>1</v>
      </c>
    </row>
    <row r="404">
      <c r="K404" s="14">
        <f t="shared" si="41"/>
        <v>4.16</v>
      </c>
      <c r="L404" s="27">
        <v>0.0</v>
      </c>
      <c r="M404" s="27">
        <f t="shared" si="7"/>
        <v>1</v>
      </c>
    </row>
    <row r="405">
      <c r="K405" s="14">
        <f t="shared" si="41"/>
        <v>4.17</v>
      </c>
      <c r="L405" s="27">
        <v>0.0</v>
      </c>
      <c r="M405" s="27">
        <f t="shared" si="7"/>
        <v>1</v>
      </c>
    </row>
    <row r="406">
      <c r="K406" s="14">
        <f t="shared" si="41"/>
        <v>4.18</v>
      </c>
      <c r="L406" s="27">
        <v>0.0</v>
      </c>
      <c r="M406" s="27">
        <f t="shared" si="7"/>
        <v>1</v>
      </c>
    </row>
    <row r="407">
      <c r="K407" s="14">
        <f t="shared" si="41"/>
        <v>4.19</v>
      </c>
      <c r="L407" s="27">
        <v>0.0</v>
      </c>
      <c r="M407" s="27">
        <f t="shared" si="7"/>
        <v>1</v>
      </c>
    </row>
    <row r="408">
      <c r="K408" s="14">
        <f t="shared" si="41"/>
        <v>4.2</v>
      </c>
      <c r="L408" s="27">
        <v>0.0</v>
      </c>
      <c r="M408" s="27">
        <f t="shared" si="7"/>
        <v>1</v>
      </c>
    </row>
    <row r="409">
      <c r="K409" s="14">
        <f t="shared" si="41"/>
        <v>4.21</v>
      </c>
      <c r="L409" s="27">
        <v>0.0</v>
      </c>
      <c r="M409" s="27">
        <f t="shared" si="7"/>
        <v>1</v>
      </c>
    </row>
    <row r="410">
      <c r="K410" s="14">
        <f t="shared" si="41"/>
        <v>4.22</v>
      </c>
      <c r="L410" s="27">
        <v>0.0</v>
      </c>
      <c r="M410" s="27">
        <f t="shared" si="7"/>
        <v>1</v>
      </c>
    </row>
    <row r="411">
      <c r="K411" s="14">
        <f t="shared" si="41"/>
        <v>4.23</v>
      </c>
      <c r="L411" s="27">
        <v>0.0</v>
      </c>
      <c r="M411" s="27">
        <f t="shared" si="7"/>
        <v>1</v>
      </c>
    </row>
    <row r="412">
      <c r="K412" s="14">
        <f t="shared" si="41"/>
        <v>4.24</v>
      </c>
      <c r="L412" s="27">
        <v>0.0</v>
      </c>
      <c r="M412" s="27">
        <f t="shared" si="7"/>
        <v>1</v>
      </c>
    </row>
    <row r="413">
      <c r="K413" s="14">
        <f t="shared" si="41"/>
        <v>4.25</v>
      </c>
      <c r="L413" s="27">
        <v>0.0</v>
      </c>
      <c r="M413" s="27">
        <f t="shared" si="7"/>
        <v>1</v>
      </c>
    </row>
    <row r="414">
      <c r="K414" s="14">
        <f t="shared" si="41"/>
        <v>4.26</v>
      </c>
      <c r="L414" s="27">
        <v>0.0</v>
      </c>
      <c r="M414" s="27">
        <f t="shared" si="7"/>
        <v>1</v>
      </c>
    </row>
    <row r="415">
      <c r="K415" s="14">
        <f t="shared" si="41"/>
        <v>4.27</v>
      </c>
      <c r="L415" s="27">
        <v>0.0</v>
      </c>
      <c r="M415" s="27">
        <f t="shared" si="7"/>
        <v>1</v>
      </c>
    </row>
    <row r="416">
      <c r="K416" s="14">
        <f t="shared" si="41"/>
        <v>4.28</v>
      </c>
      <c r="L416" s="27">
        <v>0.0</v>
      </c>
      <c r="M416" s="27">
        <f t="shared" si="7"/>
        <v>1</v>
      </c>
    </row>
    <row r="417">
      <c r="K417" s="14">
        <f t="shared" si="41"/>
        <v>4.29</v>
      </c>
      <c r="L417" s="27">
        <v>0.0</v>
      </c>
      <c r="M417" s="27">
        <f t="shared" si="7"/>
        <v>1</v>
      </c>
    </row>
    <row r="418">
      <c r="K418" s="14">
        <f t="shared" si="41"/>
        <v>4.3</v>
      </c>
      <c r="L418" s="27">
        <v>0.0</v>
      </c>
      <c r="M418" s="27">
        <f t="shared" si="7"/>
        <v>1</v>
      </c>
    </row>
    <row r="419">
      <c r="K419" s="14">
        <f t="shared" si="41"/>
        <v>4.31</v>
      </c>
      <c r="L419" s="27">
        <v>0.0</v>
      </c>
      <c r="M419" s="27">
        <f t="shared" si="7"/>
        <v>1</v>
      </c>
    </row>
    <row r="420">
      <c r="K420" s="14">
        <f t="shared" si="41"/>
        <v>4.32</v>
      </c>
      <c r="L420" s="27">
        <v>0.0</v>
      </c>
      <c r="M420" s="27">
        <f t="shared" si="7"/>
        <v>1</v>
      </c>
    </row>
    <row r="421">
      <c r="K421" s="14">
        <f t="shared" si="41"/>
        <v>4.33</v>
      </c>
      <c r="L421" s="27">
        <v>0.0</v>
      </c>
      <c r="M421" s="27">
        <f t="shared" si="7"/>
        <v>1</v>
      </c>
    </row>
    <row r="422">
      <c r="K422" s="14">
        <f t="shared" si="41"/>
        <v>4.34</v>
      </c>
      <c r="L422" s="27">
        <v>0.0</v>
      </c>
      <c r="M422" s="27">
        <f t="shared" si="7"/>
        <v>1</v>
      </c>
    </row>
    <row r="423">
      <c r="K423" s="14">
        <f t="shared" si="41"/>
        <v>4.35</v>
      </c>
      <c r="L423" s="27">
        <v>0.0</v>
      </c>
      <c r="M423" s="27">
        <f t="shared" si="7"/>
        <v>1</v>
      </c>
    </row>
    <row r="424">
      <c r="K424" s="14">
        <f t="shared" si="41"/>
        <v>4.36</v>
      </c>
      <c r="L424" s="27">
        <v>0.0</v>
      </c>
      <c r="M424" s="27">
        <f t="shared" si="7"/>
        <v>1</v>
      </c>
    </row>
    <row r="425">
      <c r="K425" s="14">
        <f t="shared" si="41"/>
        <v>4.37</v>
      </c>
      <c r="L425" s="27">
        <v>0.0</v>
      </c>
      <c r="M425" s="27">
        <f t="shared" si="7"/>
        <v>1</v>
      </c>
    </row>
    <row r="426">
      <c r="K426" s="14">
        <f t="shared" si="41"/>
        <v>4.38</v>
      </c>
      <c r="L426" s="27">
        <v>0.0</v>
      </c>
      <c r="M426" s="27">
        <f t="shared" si="7"/>
        <v>1</v>
      </c>
    </row>
    <row r="427">
      <c r="K427" s="14">
        <f t="shared" si="41"/>
        <v>4.39</v>
      </c>
      <c r="L427" s="27">
        <v>0.0</v>
      </c>
      <c r="M427" s="27">
        <f t="shared" si="7"/>
        <v>1</v>
      </c>
    </row>
    <row r="428">
      <c r="K428" s="14">
        <f t="shared" si="41"/>
        <v>4.4</v>
      </c>
      <c r="L428" s="27">
        <v>0.0</v>
      </c>
      <c r="M428" s="27">
        <f t="shared" si="7"/>
        <v>1</v>
      </c>
    </row>
    <row r="429">
      <c r="K429" s="14">
        <f t="shared" si="41"/>
        <v>4.41</v>
      </c>
      <c r="L429" s="27">
        <v>0.0</v>
      </c>
      <c r="M429" s="27">
        <f t="shared" si="7"/>
        <v>1</v>
      </c>
    </row>
    <row r="430">
      <c r="K430" s="14">
        <f t="shared" si="41"/>
        <v>4.42</v>
      </c>
      <c r="L430" s="27">
        <v>0.0</v>
      </c>
      <c r="M430" s="27">
        <f t="shared" si="7"/>
        <v>1</v>
      </c>
    </row>
    <row r="431">
      <c r="K431" s="14">
        <f t="shared" si="41"/>
        <v>4.43</v>
      </c>
      <c r="L431" s="27">
        <v>0.0</v>
      </c>
      <c r="M431" s="27">
        <f t="shared" si="7"/>
        <v>1</v>
      </c>
    </row>
    <row r="432">
      <c r="K432" s="14">
        <f t="shared" si="41"/>
        <v>4.44</v>
      </c>
      <c r="L432" s="27">
        <v>0.0</v>
      </c>
      <c r="M432" s="27">
        <f t="shared" si="7"/>
        <v>1</v>
      </c>
    </row>
    <row r="433">
      <c r="K433" s="14">
        <f t="shared" si="41"/>
        <v>4.45</v>
      </c>
      <c r="L433" s="27">
        <v>0.0</v>
      </c>
      <c r="M433" s="27">
        <f t="shared" si="7"/>
        <v>1</v>
      </c>
    </row>
    <row r="434">
      <c r="K434" s="14">
        <f t="shared" si="41"/>
        <v>4.46</v>
      </c>
      <c r="L434" s="27">
        <v>0.0</v>
      </c>
      <c r="M434" s="27">
        <f t="shared" si="7"/>
        <v>1</v>
      </c>
    </row>
    <row r="435">
      <c r="K435" s="14">
        <f t="shared" si="41"/>
        <v>4.47</v>
      </c>
      <c r="L435" s="27">
        <v>0.0</v>
      </c>
      <c r="M435" s="27">
        <f t="shared" si="7"/>
        <v>1</v>
      </c>
    </row>
    <row r="436">
      <c r="K436" s="14">
        <f t="shared" si="41"/>
        <v>4.48</v>
      </c>
      <c r="L436" s="27">
        <v>0.0</v>
      </c>
      <c r="M436" s="27">
        <f t="shared" si="7"/>
        <v>1</v>
      </c>
    </row>
    <row r="437">
      <c r="K437" s="14">
        <f t="shared" si="41"/>
        <v>4.49</v>
      </c>
      <c r="L437" s="27">
        <v>0.0</v>
      </c>
      <c r="M437" s="27">
        <f t="shared" si="7"/>
        <v>1</v>
      </c>
    </row>
    <row r="438">
      <c r="K438" s="14">
        <f t="shared" si="41"/>
        <v>4.5</v>
      </c>
      <c r="L438" s="27">
        <v>0.0</v>
      </c>
      <c r="M438" s="27">
        <f t="shared" si="7"/>
        <v>1</v>
      </c>
    </row>
    <row r="439">
      <c r="K439" s="14">
        <f t="shared" si="41"/>
        <v>4.51</v>
      </c>
      <c r="L439" s="27">
        <v>0.0</v>
      </c>
      <c r="M439" s="27">
        <f t="shared" si="7"/>
        <v>1</v>
      </c>
    </row>
    <row r="440">
      <c r="K440" s="14">
        <f t="shared" si="41"/>
        <v>4.52</v>
      </c>
      <c r="L440" s="27">
        <v>0.0</v>
      </c>
      <c r="M440" s="27">
        <f t="shared" si="7"/>
        <v>1</v>
      </c>
    </row>
    <row r="441">
      <c r="K441" s="14">
        <f t="shared" si="41"/>
        <v>4.53</v>
      </c>
      <c r="L441" s="27">
        <v>0.0</v>
      </c>
      <c r="M441" s="27">
        <f t="shared" si="7"/>
        <v>1</v>
      </c>
    </row>
    <row r="442">
      <c r="K442" s="14">
        <f t="shared" si="41"/>
        <v>4.54</v>
      </c>
      <c r="L442" s="27">
        <v>0.0</v>
      </c>
      <c r="M442" s="27">
        <f t="shared" si="7"/>
        <v>1</v>
      </c>
    </row>
    <row r="443">
      <c r="K443" s="14">
        <f t="shared" si="41"/>
        <v>4.55</v>
      </c>
      <c r="L443" s="27">
        <v>0.0</v>
      </c>
      <c r="M443" s="27">
        <f t="shared" si="7"/>
        <v>1</v>
      </c>
    </row>
    <row r="444">
      <c r="K444" s="14">
        <f t="shared" si="41"/>
        <v>4.56</v>
      </c>
      <c r="L444" s="27">
        <v>0.0</v>
      </c>
      <c r="M444" s="27">
        <f t="shared" si="7"/>
        <v>1</v>
      </c>
    </row>
    <row r="445">
      <c r="K445" s="14">
        <f t="shared" si="41"/>
        <v>4.57</v>
      </c>
      <c r="L445" s="27">
        <v>0.0</v>
      </c>
      <c r="M445" s="27">
        <f t="shared" si="7"/>
        <v>1</v>
      </c>
    </row>
    <row r="446">
      <c r="K446" s="14">
        <f t="shared" si="41"/>
        <v>4.58</v>
      </c>
      <c r="L446" s="27">
        <v>0.0</v>
      </c>
      <c r="M446" s="27">
        <f t="shared" si="7"/>
        <v>1</v>
      </c>
    </row>
    <row r="447">
      <c r="K447" s="14">
        <f t="shared" si="41"/>
        <v>4.59</v>
      </c>
      <c r="L447" s="27">
        <v>0.0</v>
      </c>
      <c r="M447" s="27">
        <f t="shared" si="7"/>
        <v>1</v>
      </c>
    </row>
    <row r="448">
      <c r="K448" s="14">
        <f t="shared" si="41"/>
        <v>4.6</v>
      </c>
      <c r="L448" s="27">
        <v>0.0</v>
      </c>
      <c r="M448" s="27">
        <f t="shared" si="7"/>
        <v>1</v>
      </c>
    </row>
    <row r="449">
      <c r="K449" s="14">
        <f t="shared" si="41"/>
        <v>4.61</v>
      </c>
      <c r="L449" s="27">
        <v>0.0</v>
      </c>
      <c r="M449" s="27">
        <f t="shared" si="7"/>
        <v>1</v>
      </c>
    </row>
    <row r="450">
      <c r="K450" s="14">
        <f t="shared" si="41"/>
        <v>4.62</v>
      </c>
      <c r="L450" s="27">
        <v>0.0</v>
      </c>
      <c r="M450" s="27">
        <f t="shared" si="7"/>
        <v>1</v>
      </c>
    </row>
    <row r="451">
      <c r="K451" s="14">
        <f t="shared" si="41"/>
        <v>4.63</v>
      </c>
      <c r="L451" s="27">
        <v>0.0</v>
      </c>
      <c r="M451" s="27">
        <f t="shared" si="7"/>
        <v>1</v>
      </c>
    </row>
    <row r="452">
      <c r="K452" s="14">
        <f t="shared" si="41"/>
        <v>4.64</v>
      </c>
      <c r="L452" s="27">
        <v>0.0</v>
      </c>
      <c r="M452" s="27">
        <f t="shared" si="7"/>
        <v>1</v>
      </c>
    </row>
    <row r="453">
      <c r="K453" s="14">
        <f t="shared" si="41"/>
        <v>4.65</v>
      </c>
      <c r="L453" s="27">
        <v>0.0</v>
      </c>
      <c r="M453" s="27">
        <f t="shared" si="7"/>
        <v>1</v>
      </c>
    </row>
    <row r="454">
      <c r="K454" s="14">
        <f t="shared" si="41"/>
        <v>4.66</v>
      </c>
      <c r="L454" s="27">
        <v>0.0</v>
      </c>
      <c r="M454" s="27">
        <f t="shared" si="7"/>
        <v>1</v>
      </c>
    </row>
    <row r="455">
      <c r="K455" s="14">
        <f t="shared" si="41"/>
        <v>4.67</v>
      </c>
      <c r="L455" s="27">
        <v>0.0</v>
      </c>
      <c r="M455" s="27">
        <f t="shared" si="7"/>
        <v>1</v>
      </c>
    </row>
    <row r="456">
      <c r="K456" s="14">
        <f t="shared" si="41"/>
        <v>4.68</v>
      </c>
      <c r="L456" s="27">
        <v>0.0</v>
      </c>
      <c r="M456" s="27">
        <f t="shared" si="7"/>
        <v>1</v>
      </c>
    </row>
    <row r="457">
      <c r="K457" s="14">
        <f t="shared" si="41"/>
        <v>4.69</v>
      </c>
      <c r="L457" s="27">
        <v>0.0</v>
      </c>
      <c r="M457" s="27">
        <f t="shared" si="7"/>
        <v>1</v>
      </c>
    </row>
    <row r="458">
      <c r="K458" s="14">
        <f t="shared" si="41"/>
        <v>4.7</v>
      </c>
      <c r="L458" s="27">
        <v>0.0</v>
      </c>
      <c r="M458" s="27">
        <f t="shared" si="7"/>
        <v>1</v>
      </c>
    </row>
    <row r="459">
      <c r="K459" s="14">
        <f t="shared" si="41"/>
        <v>4.71</v>
      </c>
      <c r="L459" s="27">
        <v>0.0</v>
      </c>
      <c r="M459" s="27">
        <f t="shared" si="7"/>
        <v>1</v>
      </c>
    </row>
    <row r="460">
      <c r="K460" s="14">
        <f t="shared" si="41"/>
        <v>4.72</v>
      </c>
      <c r="L460" s="27">
        <v>0.0</v>
      </c>
      <c r="M460" s="27">
        <f t="shared" si="7"/>
        <v>1</v>
      </c>
    </row>
    <row r="461">
      <c r="K461" s="14">
        <f t="shared" si="41"/>
        <v>4.73</v>
      </c>
      <c r="L461" s="27">
        <v>0.0</v>
      </c>
      <c r="M461" s="27">
        <f t="shared" si="7"/>
        <v>1</v>
      </c>
    </row>
    <row r="462">
      <c r="K462" s="14">
        <f t="shared" si="41"/>
        <v>4.74</v>
      </c>
      <c r="L462" s="27">
        <v>0.0</v>
      </c>
      <c r="M462" s="27">
        <f t="shared" si="7"/>
        <v>1</v>
      </c>
    </row>
    <row r="463">
      <c r="K463" s="14">
        <f t="shared" si="41"/>
        <v>4.75</v>
      </c>
      <c r="L463" s="27">
        <v>0.0</v>
      </c>
      <c r="M463" s="27">
        <f t="shared" si="7"/>
        <v>1</v>
      </c>
    </row>
    <row r="464">
      <c r="K464" s="14">
        <f t="shared" si="41"/>
        <v>4.76</v>
      </c>
      <c r="L464" s="27">
        <v>0.0</v>
      </c>
      <c r="M464" s="27">
        <f t="shared" si="7"/>
        <v>1</v>
      </c>
    </row>
    <row r="465">
      <c r="K465" s="14">
        <f t="shared" si="41"/>
        <v>4.77</v>
      </c>
      <c r="L465" s="27">
        <v>0.0</v>
      </c>
      <c r="M465" s="27">
        <f t="shared" si="7"/>
        <v>1</v>
      </c>
    </row>
    <row r="466">
      <c r="K466" s="14">
        <f t="shared" si="41"/>
        <v>4.78</v>
      </c>
      <c r="L466" s="27">
        <v>0.0</v>
      </c>
      <c r="M466" s="27">
        <f t="shared" si="7"/>
        <v>1</v>
      </c>
    </row>
    <row r="467">
      <c r="K467" s="14">
        <f t="shared" si="41"/>
        <v>4.79</v>
      </c>
      <c r="L467" s="27">
        <v>0.0</v>
      </c>
      <c r="M467" s="27">
        <f t="shared" si="7"/>
        <v>1</v>
      </c>
    </row>
    <row r="468">
      <c r="K468" s="14">
        <f t="shared" si="41"/>
        <v>4.8</v>
      </c>
      <c r="L468" s="27">
        <v>0.0</v>
      </c>
      <c r="M468" s="27">
        <f t="shared" si="7"/>
        <v>1</v>
      </c>
    </row>
    <row r="469">
      <c r="K469" s="14">
        <f t="shared" si="41"/>
        <v>4.81</v>
      </c>
      <c r="L469" s="27">
        <v>0.0</v>
      </c>
      <c r="M469" s="27">
        <f t="shared" si="7"/>
        <v>1</v>
      </c>
    </row>
    <row r="470">
      <c r="K470" s="14">
        <f t="shared" si="41"/>
        <v>4.82</v>
      </c>
      <c r="L470" s="27">
        <v>0.0</v>
      </c>
      <c r="M470" s="27">
        <f t="shared" si="7"/>
        <v>1</v>
      </c>
    </row>
    <row r="471">
      <c r="K471" s="14">
        <f t="shared" si="41"/>
        <v>4.83</v>
      </c>
      <c r="L471" s="27">
        <v>0.0</v>
      </c>
      <c r="M471" s="27">
        <f t="shared" si="7"/>
        <v>1</v>
      </c>
    </row>
    <row r="472">
      <c r="K472" s="14">
        <f t="shared" si="41"/>
        <v>4.84</v>
      </c>
      <c r="L472" s="27">
        <v>0.0</v>
      </c>
      <c r="M472" s="27">
        <f t="shared" si="7"/>
        <v>1</v>
      </c>
    </row>
    <row r="473">
      <c r="K473" s="14">
        <f t="shared" si="41"/>
        <v>4.85</v>
      </c>
      <c r="L473" s="27">
        <v>0.0</v>
      </c>
      <c r="M473" s="27">
        <f t="shared" si="7"/>
        <v>1</v>
      </c>
    </row>
    <row r="474">
      <c r="K474" s="14">
        <f t="shared" si="41"/>
        <v>4.86</v>
      </c>
      <c r="L474" s="27">
        <v>0.0</v>
      </c>
      <c r="M474" s="27">
        <f t="shared" si="7"/>
        <v>1</v>
      </c>
    </row>
    <row r="475">
      <c r="K475" s="14">
        <f t="shared" si="41"/>
        <v>4.87</v>
      </c>
      <c r="L475" s="27">
        <v>0.0</v>
      </c>
      <c r="M475" s="27">
        <f t="shared" si="7"/>
        <v>1</v>
      </c>
    </row>
    <row r="476">
      <c r="K476" s="14">
        <f t="shared" si="41"/>
        <v>4.88</v>
      </c>
      <c r="L476" s="27">
        <v>0.0</v>
      </c>
      <c r="M476" s="27">
        <f t="shared" si="7"/>
        <v>1</v>
      </c>
    </row>
    <row r="477">
      <c r="K477" s="14">
        <f t="shared" si="41"/>
        <v>4.89</v>
      </c>
      <c r="L477" s="27">
        <v>0.0</v>
      </c>
      <c r="M477" s="27">
        <f t="shared" si="7"/>
        <v>1</v>
      </c>
    </row>
    <row r="478">
      <c r="K478" s="14">
        <f t="shared" si="41"/>
        <v>4.9</v>
      </c>
      <c r="L478" s="27">
        <v>0.0</v>
      </c>
      <c r="M478" s="27">
        <f t="shared" si="7"/>
        <v>1</v>
      </c>
    </row>
    <row r="479">
      <c r="K479" s="14">
        <f t="shared" si="41"/>
        <v>4.91</v>
      </c>
      <c r="L479" s="27">
        <v>0.0</v>
      </c>
      <c r="M479" s="27">
        <f t="shared" si="7"/>
        <v>1</v>
      </c>
    </row>
    <row r="480">
      <c r="K480" s="14">
        <f t="shared" si="41"/>
        <v>4.92</v>
      </c>
      <c r="L480" s="27">
        <v>0.0</v>
      </c>
      <c r="M480" s="27">
        <f t="shared" si="7"/>
        <v>1</v>
      </c>
    </row>
    <row r="481">
      <c r="K481" s="14">
        <f t="shared" si="41"/>
        <v>4.93</v>
      </c>
      <c r="L481" s="27">
        <v>0.0</v>
      </c>
      <c r="M481" s="27">
        <f t="shared" si="7"/>
        <v>1</v>
      </c>
    </row>
    <row r="482">
      <c r="K482" s="14">
        <f t="shared" si="41"/>
        <v>4.94</v>
      </c>
      <c r="L482" s="27">
        <v>0.0</v>
      </c>
      <c r="M482" s="27">
        <f t="shared" si="7"/>
        <v>1</v>
      </c>
    </row>
    <row r="483">
      <c r="K483" s="14">
        <f t="shared" si="41"/>
        <v>4.95</v>
      </c>
      <c r="L483" s="27">
        <v>0.0</v>
      </c>
      <c r="M483" s="27">
        <f t="shared" si="7"/>
        <v>1</v>
      </c>
    </row>
    <row r="484">
      <c r="K484" s="14">
        <f t="shared" si="41"/>
        <v>4.96</v>
      </c>
      <c r="L484" s="27">
        <v>0.0</v>
      </c>
      <c r="M484" s="27">
        <f t="shared" si="7"/>
        <v>1</v>
      </c>
    </row>
    <row r="485">
      <c r="K485" s="14">
        <f t="shared" si="41"/>
        <v>4.97</v>
      </c>
      <c r="L485" s="27">
        <v>0.0</v>
      </c>
      <c r="M485" s="27">
        <f t="shared" si="7"/>
        <v>1</v>
      </c>
    </row>
    <row r="486">
      <c r="K486" s="14">
        <f t="shared" si="41"/>
        <v>4.98</v>
      </c>
      <c r="L486" s="27">
        <v>0.0</v>
      </c>
      <c r="M486" s="27">
        <f t="shared" si="7"/>
        <v>1</v>
      </c>
    </row>
    <row r="487">
      <c r="K487" s="14">
        <f t="shared" si="41"/>
        <v>4.99</v>
      </c>
      <c r="L487" s="27">
        <v>0.0</v>
      </c>
      <c r="M487" s="27">
        <f t="shared" si="7"/>
        <v>1</v>
      </c>
    </row>
    <row r="488">
      <c r="K488" s="14">
        <f t="shared" si="41"/>
        <v>5</v>
      </c>
      <c r="L488" s="27">
        <v>0.0</v>
      </c>
      <c r="M488" s="27">
        <f t="shared" si="7"/>
        <v>1</v>
      </c>
    </row>
    <row r="489">
      <c r="L489" s="5"/>
      <c r="M489" s="5"/>
    </row>
    <row r="490">
      <c r="L490" s="5"/>
      <c r="M490" s="5"/>
    </row>
    <row r="491">
      <c r="L491" s="5"/>
      <c r="M491" s="5"/>
    </row>
    <row r="492">
      <c r="L492" s="5"/>
      <c r="M492" s="5"/>
    </row>
    <row r="493">
      <c r="L493" s="5"/>
      <c r="M493" s="5"/>
    </row>
    <row r="494">
      <c r="L494" s="5"/>
      <c r="M494" s="5"/>
    </row>
    <row r="495">
      <c r="L495" s="5"/>
      <c r="M495" s="5"/>
    </row>
    <row r="496">
      <c r="L496" s="5"/>
      <c r="M496" s="5"/>
    </row>
    <row r="497">
      <c r="L497" s="5"/>
      <c r="M497" s="5"/>
    </row>
    <row r="498">
      <c r="L498" s="5"/>
      <c r="M498" s="5"/>
    </row>
    <row r="499">
      <c r="L499" s="5"/>
      <c r="M499" s="5"/>
    </row>
    <row r="500">
      <c r="L500" s="5"/>
      <c r="M500" s="5"/>
    </row>
    <row r="501">
      <c r="L501" s="5"/>
      <c r="M501" s="5"/>
    </row>
    <row r="502">
      <c r="L502" s="5"/>
      <c r="M502" s="5"/>
    </row>
    <row r="503">
      <c r="L503" s="5"/>
      <c r="M503" s="5"/>
    </row>
    <row r="504">
      <c r="L504" s="5"/>
      <c r="M504" s="5"/>
    </row>
    <row r="505">
      <c r="L505" s="5"/>
      <c r="M505" s="5"/>
    </row>
    <row r="506">
      <c r="L506" s="5"/>
      <c r="M506" s="5"/>
    </row>
    <row r="507">
      <c r="L507" s="5"/>
      <c r="M507" s="5"/>
    </row>
    <row r="508">
      <c r="L508" s="5"/>
      <c r="M508" s="5"/>
    </row>
    <row r="509">
      <c r="L509" s="5"/>
      <c r="M509" s="5"/>
    </row>
    <row r="510">
      <c r="L510" s="5"/>
      <c r="M510" s="5"/>
    </row>
    <row r="511">
      <c r="L511" s="5"/>
      <c r="M511" s="5"/>
    </row>
    <row r="512">
      <c r="L512" s="5"/>
      <c r="M512" s="5"/>
    </row>
    <row r="513">
      <c r="L513" s="5"/>
      <c r="M513" s="5"/>
    </row>
    <row r="514">
      <c r="L514" s="5"/>
      <c r="M514" s="5"/>
    </row>
    <row r="515">
      <c r="L515" s="5"/>
      <c r="M515" s="5"/>
    </row>
    <row r="516">
      <c r="L516" s="5"/>
      <c r="M516" s="5"/>
    </row>
    <row r="517">
      <c r="L517" s="5"/>
      <c r="M517" s="5"/>
    </row>
    <row r="518">
      <c r="L518" s="5"/>
      <c r="M518" s="5"/>
    </row>
    <row r="519">
      <c r="L519" s="5"/>
      <c r="M519" s="5"/>
    </row>
    <row r="520">
      <c r="L520" s="5"/>
      <c r="M520" s="5"/>
    </row>
    <row r="521">
      <c r="L521" s="5"/>
      <c r="M521" s="5"/>
    </row>
    <row r="522">
      <c r="L522" s="5"/>
      <c r="M522" s="5"/>
    </row>
    <row r="523">
      <c r="L523" s="5"/>
      <c r="M523" s="5"/>
    </row>
    <row r="524">
      <c r="L524" s="5"/>
      <c r="M524" s="5"/>
    </row>
    <row r="525">
      <c r="L525" s="5"/>
      <c r="M525" s="5"/>
    </row>
    <row r="526">
      <c r="L526" s="5"/>
      <c r="M526" s="5"/>
    </row>
    <row r="527">
      <c r="L527" s="5"/>
      <c r="M527" s="5"/>
    </row>
    <row r="528">
      <c r="L528" s="5"/>
      <c r="M528" s="5"/>
    </row>
    <row r="529">
      <c r="L529" s="5"/>
      <c r="M529" s="5"/>
    </row>
    <row r="530">
      <c r="L530" s="5"/>
      <c r="M530" s="5"/>
    </row>
    <row r="531">
      <c r="L531" s="5"/>
      <c r="M531" s="5"/>
    </row>
    <row r="532">
      <c r="L532" s="5"/>
      <c r="M532" s="5"/>
    </row>
    <row r="533">
      <c r="L533" s="5"/>
      <c r="M533" s="5"/>
    </row>
    <row r="534">
      <c r="L534" s="5"/>
      <c r="M534" s="5"/>
    </row>
    <row r="535">
      <c r="L535" s="5"/>
      <c r="M535" s="5"/>
    </row>
    <row r="536">
      <c r="L536" s="5"/>
      <c r="M536" s="5"/>
    </row>
    <row r="537">
      <c r="L537" s="5"/>
      <c r="M537" s="5"/>
    </row>
    <row r="538">
      <c r="L538" s="5"/>
      <c r="M538" s="5"/>
    </row>
    <row r="539">
      <c r="L539" s="5"/>
      <c r="M539" s="5"/>
    </row>
    <row r="540">
      <c r="L540" s="5"/>
      <c r="M540" s="5"/>
    </row>
    <row r="541">
      <c r="L541" s="5"/>
      <c r="M541" s="5"/>
    </row>
    <row r="542">
      <c r="L542" s="5"/>
      <c r="M542" s="5"/>
    </row>
    <row r="543">
      <c r="L543" s="5"/>
      <c r="M543" s="5"/>
    </row>
    <row r="544">
      <c r="L544" s="5"/>
      <c r="M544" s="5"/>
    </row>
    <row r="545">
      <c r="L545" s="5"/>
      <c r="M545" s="5"/>
    </row>
    <row r="546">
      <c r="L546" s="5"/>
      <c r="M546" s="5"/>
    </row>
    <row r="547">
      <c r="L547" s="5"/>
      <c r="M547" s="5"/>
    </row>
    <row r="548">
      <c r="L548" s="5"/>
      <c r="M548" s="5"/>
    </row>
    <row r="549">
      <c r="L549" s="5"/>
      <c r="M549" s="5"/>
    </row>
    <row r="550">
      <c r="L550" s="5"/>
      <c r="M550" s="5"/>
    </row>
    <row r="551">
      <c r="L551" s="5"/>
      <c r="M551" s="5"/>
    </row>
    <row r="552">
      <c r="L552" s="5"/>
      <c r="M552" s="5"/>
    </row>
    <row r="553">
      <c r="L553" s="5"/>
      <c r="M553" s="5"/>
    </row>
    <row r="554">
      <c r="L554" s="5"/>
      <c r="M554" s="5"/>
    </row>
    <row r="555">
      <c r="L555" s="5"/>
      <c r="M555" s="5"/>
    </row>
    <row r="556">
      <c r="L556" s="5"/>
      <c r="M556" s="5"/>
    </row>
    <row r="557">
      <c r="L557" s="5"/>
      <c r="M557" s="5"/>
    </row>
    <row r="558">
      <c r="L558" s="5"/>
      <c r="M558" s="5"/>
    </row>
    <row r="559">
      <c r="L559" s="5"/>
      <c r="M559" s="5"/>
    </row>
    <row r="560">
      <c r="L560" s="5"/>
      <c r="M560" s="5"/>
    </row>
    <row r="561">
      <c r="L561" s="5"/>
      <c r="M561" s="5"/>
    </row>
    <row r="562">
      <c r="L562" s="5"/>
      <c r="M562" s="5"/>
    </row>
    <row r="563">
      <c r="L563" s="5"/>
      <c r="M563" s="5"/>
    </row>
    <row r="564">
      <c r="L564" s="5"/>
      <c r="M564" s="5"/>
    </row>
    <row r="565">
      <c r="L565" s="5"/>
      <c r="M565" s="5"/>
    </row>
    <row r="566">
      <c r="L566" s="5"/>
      <c r="M566" s="5"/>
    </row>
    <row r="567">
      <c r="L567" s="5"/>
      <c r="M567" s="5"/>
    </row>
    <row r="568">
      <c r="L568" s="5"/>
      <c r="M568" s="5"/>
    </row>
    <row r="569">
      <c r="L569" s="5"/>
      <c r="M569" s="5"/>
    </row>
    <row r="570">
      <c r="L570" s="5"/>
      <c r="M570" s="5"/>
    </row>
    <row r="571">
      <c r="L571" s="5"/>
      <c r="M571" s="5"/>
    </row>
    <row r="572">
      <c r="L572" s="5"/>
      <c r="M572" s="5"/>
    </row>
    <row r="573">
      <c r="L573" s="5"/>
      <c r="M573" s="5"/>
    </row>
    <row r="574">
      <c r="L574" s="5"/>
      <c r="M574" s="5"/>
    </row>
    <row r="575">
      <c r="L575" s="5"/>
      <c r="M575" s="5"/>
    </row>
    <row r="576">
      <c r="L576" s="5"/>
      <c r="M576" s="5"/>
    </row>
    <row r="577">
      <c r="L577" s="5"/>
      <c r="M577" s="5"/>
    </row>
    <row r="578">
      <c r="L578" s="5"/>
      <c r="M578" s="5"/>
    </row>
    <row r="579">
      <c r="L579" s="5"/>
      <c r="M579" s="5"/>
    </row>
    <row r="580">
      <c r="L580" s="5"/>
      <c r="M580" s="5"/>
    </row>
    <row r="581">
      <c r="L581" s="5"/>
      <c r="M581" s="5"/>
    </row>
    <row r="582">
      <c r="L582" s="5"/>
      <c r="M582" s="5"/>
    </row>
    <row r="583">
      <c r="L583" s="5"/>
      <c r="M583" s="5"/>
    </row>
    <row r="584">
      <c r="L584" s="5"/>
      <c r="M584" s="5"/>
    </row>
    <row r="585">
      <c r="L585" s="5"/>
      <c r="M585" s="5"/>
    </row>
    <row r="586">
      <c r="L586" s="5"/>
      <c r="M586" s="5"/>
    </row>
    <row r="587">
      <c r="L587" s="5"/>
      <c r="M587" s="5"/>
    </row>
    <row r="588">
      <c r="L588" s="5"/>
      <c r="M588" s="5"/>
    </row>
    <row r="589">
      <c r="L589" s="5"/>
      <c r="M589" s="5"/>
    </row>
    <row r="590">
      <c r="L590" s="5"/>
      <c r="M590" s="5"/>
    </row>
    <row r="591">
      <c r="L591" s="5"/>
      <c r="M591" s="5"/>
    </row>
    <row r="592">
      <c r="L592" s="5"/>
      <c r="M592" s="5"/>
    </row>
    <row r="593">
      <c r="L593" s="5"/>
      <c r="M593" s="5"/>
    </row>
    <row r="594">
      <c r="L594" s="5"/>
      <c r="M594" s="5"/>
    </row>
    <row r="595">
      <c r="L595" s="5"/>
      <c r="M595" s="5"/>
    </row>
    <row r="596">
      <c r="L596" s="5"/>
      <c r="M596" s="5"/>
    </row>
    <row r="597">
      <c r="L597" s="5"/>
      <c r="M597" s="5"/>
    </row>
    <row r="598">
      <c r="L598" s="5"/>
      <c r="M598" s="5"/>
    </row>
    <row r="599">
      <c r="L599" s="5"/>
      <c r="M599" s="5"/>
    </row>
    <row r="600">
      <c r="L600" s="5"/>
      <c r="M600" s="5"/>
    </row>
    <row r="601">
      <c r="L601" s="5"/>
      <c r="M601" s="5"/>
    </row>
    <row r="602">
      <c r="L602" s="5"/>
      <c r="M602" s="5"/>
    </row>
    <row r="603">
      <c r="L603" s="5"/>
      <c r="M603" s="5"/>
    </row>
    <row r="604">
      <c r="L604" s="5"/>
      <c r="M604" s="5"/>
    </row>
    <row r="605">
      <c r="L605" s="5"/>
      <c r="M605" s="5"/>
    </row>
    <row r="606">
      <c r="L606" s="5"/>
      <c r="M606" s="5"/>
    </row>
    <row r="607">
      <c r="L607" s="5"/>
      <c r="M607" s="5"/>
    </row>
    <row r="608">
      <c r="L608" s="5"/>
      <c r="M608" s="5"/>
    </row>
    <row r="609">
      <c r="L609" s="5"/>
      <c r="M609" s="5"/>
    </row>
    <row r="610">
      <c r="L610" s="5"/>
      <c r="M610" s="5"/>
    </row>
    <row r="611">
      <c r="L611" s="5"/>
      <c r="M611" s="5"/>
    </row>
    <row r="612">
      <c r="L612" s="5"/>
      <c r="M612" s="5"/>
    </row>
    <row r="613">
      <c r="L613" s="5"/>
      <c r="M613" s="5"/>
    </row>
    <row r="614">
      <c r="L614" s="5"/>
      <c r="M614" s="5"/>
    </row>
    <row r="615">
      <c r="L615" s="5"/>
      <c r="M615" s="5"/>
    </row>
    <row r="616">
      <c r="L616" s="5"/>
      <c r="M616" s="5"/>
    </row>
    <row r="617">
      <c r="L617" s="5"/>
      <c r="M617" s="5"/>
    </row>
    <row r="618">
      <c r="L618" s="5"/>
      <c r="M618" s="5"/>
    </row>
    <row r="619">
      <c r="L619" s="5"/>
      <c r="M619" s="5"/>
    </row>
    <row r="620">
      <c r="L620" s="5"/>
      <c r="M620" s="5"/>
    </row>
    <row r="621">
      <c r="L621" s="5"/>
      <c r="M621" s="5"/>
    </row>
    <row r="622">
      <c r="L622" s="5"/>
      <c r="M622" s="5"/>
    </row>
    <row r="623">
      <c r="L623" s="5"/>
      <c r="M623" s="5"/>
    </row>
    <row r="624">
      <c r="L624" s="5"/>
      <c r="M624" s="5"/>
    </row>
    <row r="625">
      <c r="L625" s="5"/>
      <c r="M625" s="5"/>
    </row>
    <row r="626">
      <c r="L626" s="5"/>
      <c r="M626" s="5"/>
    </row>
    <row r="627">
      <c r="L627" s="5"/>
      <c r="M627" s="5"/>
    </row>
    <row r="628">
      <c r="L628" s="5"/>
      <c r="M628" s="5"/>
    </row>
    <row r="629">
      <c r="L629" s="5"/>
      <c r="M629" s="5"/>
    </row>
    <row r="630">
      <c r="L630" s="5"/>
      <c r="M630" s="5"/>
    </row>
    <row r="631">
      <c r="L631" s="5"/>
      <c r="M631" s="5"/>
    </row>
    <row r="632">
      <c r="L632" s="5"/>
      <c r="M632" s="5"/>
    </row>
    <row r="633">
      <c r="L633" s="5"/>
      <c r="M633" s="5"/>
    </row>
    <row r="634">
      <c r="L634" s="5"/>
      <c r="M634" s="5"/>
    </row>
    <row r="635">
      <c r="L635" s="5"/>
      <c r="M635" s="5"/>
    </row>
    <row r="636">
      <c r="L636" s="5"/>
      <c r="M636" s="5"/>
    </row>
    <row r="637">
      <c r="L637" s="5"/>
      <c r="M637" s="5"/>
    </row>
    <row r="638">
      <c r="L638" s="5"/>
      <c r="M638" s="5"/>
    </row>
    <row r="639">
      <c r="L639" s="5"/>
      <c r="M639" s="5"/>
    </row>
    <row r="640">
      <c r="L640" s="5"/>
      <c r="M640" s="5"/>
    </row>
    <row r="641">
      <c r="L641" s="5"/>
      <c r="M641" s="5"/>
    </row>
    <row r="642">
      <c r="L642" s="5"/>
      <c r="M642" s="5"/>
    </row>
    <row r="643">
      <c r="L643" s="5"/>
      <c r="M643" s="5"/>
    </row>
    <row r="644">
      <c r="L644" s="5"/>
      <c r="M644" s="5"/>
    </row>
    <row r="645">
      <c r="L645" s="5"/>
      <c r="M645" s="5"/>
    </row>
    <row r="646">
      <c r="L646" s="5"/>
      <c r="M646" s="5"/>
    </row>
    <row r="647">
      <c r="L647" s="5"/>
      <c r="M647" s="5"/>
    </row>
    <row r="648">
      <c r="L648" s="5"/>
      <c r="M648" s="5"/>
    </row>
    <row r="649">
      <c r="L649" s="5"/>
      <c r="M649" s="5"/>
    </row>
    <row r="650">
      <c r="L650" s="5"/>
      <c r="M650" s="5"/>
    </row>
    <row r="651">
      <c r="L651" s="5"/>
      <c r="M651" s="5"/>
    </row>
    <row r="652">
      <c r="L652" s="5"/>
      <c r="M652" s="5"/>
    </row>
    <row r="653">
      <c r="L653" s="5"/>
      <c r="M653" s="5"/>
    </row>
    <row r="654">
      <c r="L654" s="5"/>
      <c r="M654" s="5"/>
    </row>
    <row r="655">
      <c r="L655" s="5"/>
      <c r="M655" s="5"/>
    </row>
    <row r="656">
      <c r="L656" s="5"/>
      <c r="M656" s="5"/>
    </row>
    <row r="657">
      <c r="L657" s="5"/>
      <c r="M657" s="5"/>
    </row>
    <row r="658">
      <c r="L658" s="5"/>
      <c r="M658" s="5"/>
    </row>
    <row r="659">
      <c r="L659" s="5"/>
      <c r="M659" s="5"/>
    </row>
    <row r="660">
      <c r="L660" s="5"/>
      <c r="M660" s="5"/>
    </row>
    <row r="661">
      <c r="L661" s="5"/>
      <c r="M661" s="5"/>
    </row>
    <row r="662">
      <c r="L662" s="5"/>
      <c r="M662" s="5"/>
    </row>
    <row r="663">
      <c r="L663" s="5"/>
      <c r="M663" s="5"/>
    </row>
    <row r="664">
      <c r="L664" s="5"/>
      <c r="M664" s="5"/>
    </row>
    <row r="665">
      <c r="L665" s="5"/>
      <c r="M665" s="5"/>
    </row>
    <row r="666">
      <c r="L666" s="5"/>
      <c r="M666" s="5"/>
    </row>
    <row r="667">
      <c r="L667" s="5"/>
      <c r="M667" s="5"/>
    </row>
    <row r="668">
      <c r="L668" s="5"/>
      <c r="M668" s="5"/>
    </row>
    <row r="669">
      <c r="L669" s="5"/>
      <c r="M669" s="5"/>
    </row>
    <row r="670">
      <c r="L670" s="5"/>
      <c r="M670" s="5"/>
    </row>
    <row r="671">
      <c r="L671" s="5"/>
      <c r="M671" s="5"/>
    </row>
    <row r="672">
      <c r="L672" s="5"/>
      <c r="M672" s="5"/>
    </row>
    <row r="673">
      <c r="L673" s="5"/>
      <c r="M673" s="5"/>
    </row>
    <row r="674">
      <c r="L674" s="5"/>
      <c r="M674" s="5"/>
    </row>
    <row r="675">
      <c r="L675" s="5"/>
      <c r="M675" s="5"/>
    </row>
    <row r="676">
      <c r="L676" s="5"/>
      <c r="M676" s="5"/>
    </row>
    <row r="677">
      <c r="L677" s="5"/>
      <c r="M677" s="5"/>
    </row>
    <row r="678">
      <c r="L678" s="5"/>
      <c r="M678" s="5"/>
    </row>
    <row r="679">
      <c r="L679" s="5"/>
      <c r="M679" s="5"/>
    </row>
    <row r="680">
      <c r="L680" s="5"/>
      <c r="M680" s="5"/>
    </row>
    <row r="681">
      <c r="L681" s="5"/>
      <c r="M681" s="5"/>
    </row>
    <row r="682">
      <c r="L682" s="5"/>
      <c r="M682" s="5"/>
    </row>
    <row r="683">
      <c r="L683" s="5"/>
      <c r="M683" s="5"/>
    </row>
    <row r="684">
      <c r="L684" s="5"/>
      <c r="M684" s="5"/>
    </row>
    <row r="685">
      <c r="L685" s="5"/>
      <c r="M685" s="5"/>
    </row>
    <row r="686">
      <c r="L686" s="5"/>
      <c r="M686" s="5"/>
    </row>
    <row r="687">
      <c r="L687" s="5"/>
      <c r="M687" s="5"/>
    </row>
    <row r="688">
      <c r="L688" s="5"/>
      <c r="M688" s="5"/>
    </row>
    <row r="689">
      <c r="L689" s="5"/>
      <c r="M689" s="5"/>
    </row>
    <row r="690">
      <c r="L690" s="5"/>
      <c r="M690" s="5"/>
    </row>
    <row r="691">
      <c r="L691" s="5"/>
      <c r="M691" s="5"/>
    </row>
    <row r="692">
      <c r="L692" s="5"/>
      <c r="M692" s="5"/>
    </row>
    <row r="693">
      <c r="L693" s="5"/>
      <c r="M693" s="5"/>
    </row>
    <row r="694">
      <c r="L694" s="5"/>
      <c r="M694" s="5"/>
    </row>
    <row r="695">
      <c r="L695" s="5"/>
      <c r="M695" s="5"/>
    </row>
    <row r="696">
      <c r="L696" s="5"/>
      <c r="M696" s="5"/>
    </row>
    <row r="697">
      <c r="L697" s="5"/>
      <c r="M697" s="5"/>
    </row>
    <row r="698">
      <c r="L698" s="5"/>
      <c r="M698" s="5"/>
    </row>
    <row r="699">
      <c r="L699" s="5"/>
      <c r="M699" s="5"/>
    </row>
    <row r="700">
      <c r="L700" s="5"/>
      <c r="M700" s="5"/>
    </row>
    <row r="701">
      <c r="L701" s="5"/>
      <c r="M701" s="5"/>
    </row>
    <row r="702">
      <c r="L702" s="5"/>
      <c r="M702" s="5"/>
    </row>
    <row r="703">
      <c r="L703" s="5"/>
      <c r="M703" s="5"/>
    </row>
    <row r="704">
      <c r="L704" s="5"/>
      <c r="M704" s="5"/>
    </row>
    <row r="705">
      <c r="L705" s="5"/>
      <c r="M705" s="5"/>
    </row>
    <row r="706">
      <c r="L706" s="5"/>
      <c r="M706" s="5"/>
    </row>
    <row r="707">
      <c r="L707" s="5"/>
      <c r="M707" s="5"/>
    </row>
    <row r="708">
      <c r="L708" s="5"/>
      <c r="M708" s="5"/>
    </row>
    <row r="709">
      <c r="L709" s="5"/>
      <c r="M709" s="5"/>
    </row>
    <row r="710">
      <c r="L710" s="5"/>
      <c r="M710" s="5"/>
    </row>
    <row r="711">
      <c r="L711" s="5"/>
      <c r="M711" s="5"/>
    </row>
    <row r="712">
      <c r="L712" s="5"/>
      <c r="M712" s="5"/>
    </row>
    <row r="713">
      <c r="L713" s="5"/>
      <c r="M713" s="5"/>
    </row>
    <row r="714">
      <c r="L714" s="5"/>
      <c r="M714" s="5"/>
    </row>
    <row r="715">
      <c r="L715" s="5"/>
      <c r="M715" s="5"/>
    </row>
    <row r="716">
      <c r="L716" s="5"/>
      <c r="M716" s="5"/>
    </row>
    <row r="717">
      <c r="L717" s="5"/>
      <c r="M717" s="5"/>
    </row>
    <row r="718">
      <c r="L718" s="5"/>
      <c r="M718" s="5"/>
    </row>
    <row r="719">
      <c r="L719" s="5"/>
      <c r="M719" s="5"/>
    </row>
    <row r="720">
      <c r="L720" s="5"/>
      <c r="M720" s="5"/>
    </row>
    <row r="721">
      <c r="L721" s="5"/>
      <c r="M721" s="5"/>
    </row>
    <row r="722">
      <c r="L722" s="5"/>
      <c r="M722" s="5"/>
    </row>
    <row r="723">
      <c r="L723" s="5"/>
      <c r="M723" s="5"/>
    </row>
    <row r="724">
      <c r="L724" s="5"/>
      <c r="M724" s="5"/>
    </row>
    <row r="725">
      <c r="L725" s="5"/>
      <c r="M725" s="5"/>
    </row>
    <row r="726">
      <c r="L726" s="5"/>
      <c r="M726" s="5"/>
    </row>
    <row r="727">
      <c r="L727" s="5"/>
      <c r="M727" s="5"/>
    </row>
    <row r="728">
      <c r="L728" s="5"/>
      <c r="M728" s="5"/>
    </row>
    <row r="729">
      <c r="L729" s="5"/>
      <c r="M729" s="5"/>
    </row>
    <row r="730">
      <c r="L730" s="5"/>
      <c r="M730" s="5"/>
    </row>
    <row r="731">
      <c r="L731" s="5"/>
      <c r="M731" s="5"/>
    </row>
    <row r="732">
      <c r="L732" s="5"/>
      <c r="M732" s="5"/>
    </row>
    <row r="733">
      <c r="L733" s="5"/>
      <c r="M733" s="5"/>
    </row>
    <row r="734">
      <c r="L734" s="5"/>
      <c r="M734" s="5"/>
    </row>
    <row r="735">
      <c r="L735" s="5"/>
      <c r="M735" s="5"/>
    </row>
    <row r="736">
      <c r="L736" s="5"/>
      <c r="M736" s="5"/>
    </row>
    <row r="737">
      <c r="L737" s="5"/>
      <c r="M737" s="5"/>
    </row>
    <row r="738">
      <c r="L738" s="5"/>
      <c r="M738" s="5"/>
    </row>
    <row r="739">
      <c r="L739" s="5"/>
      <c r="M739" s="5"/>
    </row>
    <row r="740">
      <c r="L740" s="5"/>
      <c r="M740" s="5"/>
    </row>
    <row r="741">
      <c r="L741" s="5"/>
      <c r="M741" s="5"/>
    </row>
    <row r="742">
      <c r="L742" s="5"/>
      <c r="M742" s="5"/>
    </row>
    <row r="743">
      <c r="L743" s="5"/>
      <c r="M743" s="5"/>
    </row>
    <row r="744">
      <c r="L744" s="5"/>
      <c r="M744" s="5"/>
    </row>
    <row r="745">
      <c r="L745" s="5"/>
      <c r="M745" s="5"/>
    </row>
    <row r="746">
      <c r="L746" s="5"/>
      <c r="M746" s="5"/>
    </row>
    <row r="747">
      <c r="L747" s="5"/>
      <c r="M747" s="5"/>
    </row>
    <row r="748">
      <c r="L748" s="5"/>
      <c r="M748" s="5"/>
    </row>
    <row r="749">
      <c r="L749" s="5"/>
      <c r="M749" s="5"/>
    </row>
    <row r="750">
      <c r="L750" s="5"/>
      <c r="M750" s="5"/>
    </row>
    <row r="751">
      <c r="L751" s="5"/>
      <c r="M751" s="5"/>
    </row>
    <row r="752">
      <c r="L752" s="5"/>
      <c r="M752" s="5"/>
    </row>
    <row r="753">
      <c r="L753" s="5"/>
      <c r="M753" s="5"/>
    </row>
    <row r="754">
      <c r="L754" s="5"/>
      <c r="M754" s="5"/>
    </row>
    <row r="755">
      <c r="L755" s="5"/>
      <c r="M755" s="5"/>
    </row>
    <row r="756">
      <c r="L756" s="5"/>
      <c r="M756" s="5"/>
    </row>
    <row r="757">
      <c r="L757" s="5"/>
      <c r="M757" s="5"/>
    </row>
    <row r="758">
      <c r="L758" s="5"/>
      <c r="M758" s="5"/>
    </row>
    <row r="759">
      <c r="L759" s="5"/>
      <c r="M759" s="5"/>
    </row>
    <row r="760">
      <c r="L760" s="5"/>
      <c r="M760" s="5"/>
    </row>
    <row r="761">
      <c r="L761" s="5"/>
      <c r="M761" s="5"/>
    </row>
    <row r="762">
      <c r="L762" s="5"/>
      <c r="M762" s="5"/>
    </row>
    <row r="763">
      <c r="L763" s="5"/>
      <c r="M763" s="5"/>
    </row>
    <row r="764">
      <c r="L764" s="5"/>
      <c r="M764" s="5"/>
    </row>
    <row r="765">
      <c r="L765" s="5"/>
      <c r="M765" s="5"/>
    </row>
    <row r="766">
      <c r="L766" s="5"/>
      <c r="M766" s="5"/>
    </row>
    <row r="767">
      <c r="L767" s="5"/>
      <c r="M767" s="5"/>
    </row>
    <row r="768">
      <c r="L768" s="5"/>
      <c r="M768" s="5"/>
    </row>
    <row r="769">
      <c r="L769" s="5"/>
      <c r="M769" s="5"/>
    </row>
    <row r="770">
      <c r="L770" s="5"/>
      <c r="M770" s="5"/>
    </row>
    <row r="771">
      <c r="L771" s="5"/>
      <c r="M771" s="5"/>
    </row>
    <row r="772">
      <c r="L772" s="5"/>
      <c r="M772" s="5"/>
    </row>
    <row r="773">
      <c r="L773" s="5"/>
      <c r="M773" s="5"/>
    </row>
    <row r="774">
      <c r="L774" s="5"/>
      <c r="M774" s="5"/>
    </row>
    <row r="775">
      <c r="L775" s="5"/>
      <c r="M775" s="5"/>
    </row>
    <row r="776">
      <c r="L776" s="5"/>
      <c r="M776" s="5"/>
    </row>
    <row r="777">
      <c r="L777" s="5"/>
      <c r="M777" s="5"/>
    </row>
    <row r="778">
      <c r="L778" s="5"/>
      <c r="M778" s="5"/>
    </row>
    <row r="779">
      <c r="L779" s="5"/>
      <c r="M779" s="5"/>
    </row>
    <row r="780">
      <c r="L780" s="5"/>
      <c r="M780" s="5"/>
    </row>
    <row r="781">
      <c r="L781" s="5"/>
      <c r="M781" s="5"/>
    </row>
    <row r="782">
      <c r="L782" s="5"/>
      <c r="M782" s="5"/>
    </row>
    <row r="783">
      <c r="L783" s="5"/>
      <c r="M783" s="5"/>
    </row>
    <row r="784">
      <c r="L784" s="5"/>
      <c r="M784" s="5"/>
    </row>
    <row r="785">
      <c r="L785" s="5"/>
      <c r="M785" s="5"/>
    </row>
    <row r="786">
      <c r="L786" s="5"/>
      <c r="M786" s="5"/>
    </row>
    <row r="787">
      <c r="L787" s="5"/>
      <c r="M787" s="5"/>
    </row>
    <row r="788">
      <c r="L788" s="5"/>
      <c r="M788" s="5"/>
    </row>
    <row r="789">
      <c r="L789" s="5"/>
      <c r="M789" s="5"/>
    </row>
    <row r="790">
      <c r="L790" s="5"/>
      <c r="M790" s="5"/>
    </row>
    <row r="791">
      <c r="L791" s="5"/>
      <c r="M791" s="5"/>
    </row>
    <row r="792">
      <c r="L792" s="5"/>
      <c r="M792" s="5"/>
    </row>
    <row r="793">
      <c r="L793" s="5"/>
      <c r="M793" s="5"/>
    </row>
    <row r="794">
      <c r="L794" s="5"/>
      <c r="M794" s="5"/>
    </row>
    <row r="795">
      <c r="L795" s="5"/>
      <c r="M795" s="5"/>
    </row>
    <row r="796">
      <c r="L796" s="5"/>
      <c r="M796" s="5"/>
    </row>
    <row r="797">
      <c r="L797" s="5"/>
      <c r="M797" s="5"/>
    </row>
    <row r="798">
      <c r="L798" s="5"/>
      <c r="M798" s="5"/>
    </row>
    <row r="799">
      <c r="L799" s="5"/>
      <c r="M799" s="5"/>
    </row>
    <row r="800">
      <c r="L800" s="5"/>
      <c r="M800" s="5"/>
    </row>
    <row r="801">
      <c r="L801" s="5"/>
      <c r="M801" s="5"/>
    </row>
    <row r="802">
      <c r="L802" s="5"/>
      <c r="M802" s="5"/>
    </row>
    <row r="803">
      <c r="L803" s="5"/>
      <c r="M803" s="5"/>
    </row>
    <row r="804">
      <c r="L804" s="5"/>
      <c r="M804" s="5"/>
    </row>
    <row r="805">
      <c r="L805" s="5"/>
      <c r="M805" s="5"/>
    </row>
    <row r="806">
      <c r="L806" s="5"/>
      <c r="M806" s="5"/>
    </row>
    <row r="807">
      <c r="L807" s="5"/>
      <c r="M807" s="5"/>
    </row>
    <row r="808">
      <c r="L808" s="5"/>
      <c r="M808" s="5"/>
    </row>
    <row r="809">
      <c r="L809" s="5"/>
      <c r="M809" s="5"/>
    </row>
    <row r="810">
      <c r="L810" s="5"/>
      <c r="M810" s="5"/>
    </row>
    <row r="811">
      <c r="L811" s="5"/>
      <c r="M811" s="5"/>
    </row>
    <row r="812">
      <c r="L812" s="5"/>
      <c r="M812" s="5"/>
    </row>
    <row r="813">
      <c r="L813" s="5"/>
      <c r="M813" s="5"/>
    </row>
    <row r="814">
      <c r="L814" s="5"/>
      <c r="M814" s="5"/>
    </row>
    <row r="815">
      <c r="L815" s="5"/>
      <c r="M815" s="5"/>
    </row>
    <row r="816">
      <c r="L816" s="5"/>
      <c r="M816" s="5"/>
    </row>
    <row r="817">
      <c r="L817" s="5"/>
      <c r="M817" s="5"/>
    </row>
    <row r="818">
      <c r="L818" s="5"/>
      <c r="M818" s="5"/>
    </row>
    <row r="819">
      <c r="L819" s="5"/>
      <c r="M819" s="5"/>
    </row>
    <row r="820">
      <c r="L820" s="5"/>
      <c r="M820" s="5"/>
    </row>
    <row r="821">
      <c r="L821" s="5"/>
      <c r="M821" s="5"/>
    </row>
    <row r="822">
      <c r="L822" s="5"/>
      <c r="M822" s="5"/>
    </row>
    <row r="823">
      <c r="L823" s="5"/>
      <c r="M823" s="5"/>
    </row>
    <row r="824">
      <c r="L824" s="5"/>
      <c r="M824" s="5"/>
    </row>
    <row r="825">
      <c r="L825" s="5"/>
      <c r="M825" s="5"/>
    </row>
    <row r="826">
      <c r="L826" s="5"/>
      <c r="M826" s="5"/>
    </row>
    <row r="827">
      <c r="L827" s="5"/>
      <c r="M827" s="5"/>
    </row>
    <row r="828">
      <c r="L828" s="5"/>
      <c r="M828" s="5"/>
    </row>
    <row r="829">
      <c r="L829" s="5"/>
      <c r="M829" s="5"/>
    </row>
    <row r="830">
      <c r="L830" s="5"/>
      <c r="M830" s="5"/>
    </row>
    <row r="831">
      <c r="L831" s="5"/>
      <c r="M831" s="5"/>
    </row>
    <row r="832">
      <c r="L832" s="5"/>
      <c r="M832" s="5"/>
    </row>
    <row r="833">
      <c r="L833" s="5"/>
      <c r="M833" s="5"/>
    </row>
    <row r="834">
      <c r="L834" s="5"/>
      <c r="M834" s="5"/>
    </row>
    <row r="835">
      <c r="L835" s="5"/>
      <c r="M835" s="5"/>
    </row>
    <row r="836">
      <c r="L836" s="5"/>
      <c r="M836" s="5"/>
    </row>
    <row r="837">
      <c r="L837" s="5"/>
      <c r="M837" s="5"/>
    </row>
    <row r="838">
      <c r="L838" s="5"/>
      <c r="M838" s="5"/>
    </row>
    <row r="839">
      <c r="L839" s="5"/>
      <c r="M839" s="5"/>
    </row>
    <row r="840">
      <c r="L840" s="5"/>
      <c r="M840" s="5"/>
    </row>
    <row r="841">
      <c r="L841" s="5"/>
      <c r="M841" s="5"/>
    </row>
    <row r="842">
      <c r="L842" s="5"/>
      <c r="M842" s="5"/>
    </row>
    <row r="843">
      <c r="L843" s="5"/>
      <c r="M843" s="5"/>
    </row>
    <row r="844">
      <c r="L844" s="5"/>
      <c r="M844" s="5"/>
    </row>
    <row r="845">
      <c r="L845" s="5"/>
      <c r="M845" s="5"/>
    </row>
    <row r="846">
      <c r="L846" s="5"/>
      <c r="M846" s="5"/>
    </row>
    <row r="847">
      <c r="L847" s="5"/>
      <c r="M847" s="5"/>
    </row>
    <row r="848">
      <c r="L848" s="5"/>
      <c r="M848" s="5"/>
    </row>
    <row r="849">
      <c r="L849" s="5"/>
      <c r="M849" s="5"/>
    </row>
    <row r="850">
      <c r="L850" s="5"/>
      <c r="M850" s="5"/>
    </row>
    <row r="851">
      <c r="L851" s="5"/>
      <c r="M851" s="5"/>
    </row>
    <row r="852">
      <c r="L852" s="5"/>
      <c r="M852" s="5"/>
    </row>
    <row r="853">
      <c r="L853" s="5"/>
      <c r="M853" s="5"/>
    </row>
    <row r="854">
      <c r="L854" s="5"/>
      <c r="M854" s="5"/>
    </row>
    <row r="855">
      <c r="L855" s="5"/>
      <c r="M855" s="5"/>
    </row>
    <row r="856">
      <c r="L856" s="5"/>
      <c r="M856" s="5"/>
    </row>
    <row r="857">
      <c r="L857" s="5"/>
      <c r="M857" s="5"/>
    </row>
    <row r="858">
      <c r="L858" s="5"/>
      <c r="M858" s="5"/>
    </row>
    <row r="859">
      <c r="L859" s="5"/>
      <c r="M859" s="5"/>
    </row>
    <row r="860">
      <c r="L860" s="5"/>
      <c r="M860" s="5"/>
    </row>
    <row r="861">
      <c r="L861" s="5"/>
      <c r="M861" s="5"/>
    </row>
    <row r="862">
      <c r="L862" s="5"/>
      <c r="M862" s="5"/>
    </row>
    <row r="863">
      <c r="L863" s="5"/>
      <c r="M863" s="5"/>
    </row>
    <row r="864">
      <c r="L864" s="5"/>
      <c r="M864" s="5"/>
    </row>
    <row r="865">
      <c r="L865" s="5"/>
      <c r="M865" s="5"/>
    </row>
    <row r="866">
      <c r="L866" s="5"/>
      <c r="M866" s="5"/>
    </row>
    <row r="867">
      <c r="L867" s="5"/>
      <c r="M867" s="5"/>
    </row>
    <row r="868">
      <c r="L868" s="5"/>
      <c r="M868" s="5"/>
    </row>
    <row r="869">
      <c r="L869" s="5"/>
      <c r="M869" s="5"/>
    </row>
    <row r="870">
      <c r="L870" s="5"/>
      <c r="M870" s="5"/>
    </row>
    <row r="871">
      <c r="L871" s="5"/>
      <c r="M871" s="5"/>
    </row>
    <row r="872">
      <c r="L872" s="5"/>
      <c r="M872" s="5"/>
    </row>
    <row r="873">
      <c r="L873" s="5"/>
      <c r="M873" s="5"/>
    </row>
    <row r="874">
      <c r="L874" s="5"/>
      <c r="M874" s="5"/>
    </row>
    <row r="875">
      <c r="L875" s="5"/>
      <c r="M875" s="5"/>
    </row>
    <row r="876">
      <c r="L876" s="5"/>
      <c r="M876" s="5"/>
    </row>
    <row r="877">
      <c r="L877" s="5"/>
      <c r="M877" s="5"/>
    </row>
    <row r="878">
      <c r="L878" s="5"/>
      <c r="M878" s="5"/>
    </row>
    <row r="879">
      <c r="L879" s="5"/>
      <c r="M879" s="5"/>
    </row>
    <row r="880">
      <c r="L880" s="5"/>
      <c r="M880" s="5"/>
    </row>
    <row r="881">
      <c r="L881" s="5"/>
      <c r="M881" s="5"/>
    </row>
    <row r="882">
      <c r="L882" s="5"/>
      <c r="M882" s="5"/>
    </row>
    <row r="883">
      <c r="L883" s="5"/>
      <c r="M883" s="5"/>
    </row>
    <row r="884">
      <c r="L884" s="5"/>
      <c r="M884" s="5"/>
    </row>
    <row r="885">
      <c r="L885" s="5"/>
      <c r="M885" s="5"/>
    </row>
    <row r="886">
      <c r="L886" s="5"/>
      <c r="M886" s="5"/>
    </row>
    <row r="887">
      <c r="L887" s="5"/>
      <c r="M887" s="5"/>
    </row>
    <row r="888">
      <c r="L888" s="5"/>
      <c r="M888" s="5"/>
    </row>
    <row r="889">
      <c r="L889" s="5"/>
      <c r="M889" s="5"/>
    </row>
    <row r="890">
      <c r="L890" s="5"/>
      <c r="M890" s="5"/>
    </row>
    <row r="891">
      <c r="L891" s="5"/>
      <c r="M891" s="5"/>
    </row>
    <row r="892">
      <c r="L892" s="5"/>
      <c r="M892" s="5"/>
    </row>
    <row r="893">
      <c r="L893" s="5"/>
      <c r="M893" s="5"/>
    </row>
    <row r="894">
      <c r="L894" s="5"/>
      <c r="M894" s="5"/>
    </row>
    <row r="895">
      <c r="L895" s="5"/>
      <c r="M895" s="5"/>
    </row>
    <row r="896">
      <c r="L896" s="5"/>
      <c r="M896" s="5"/>
    </row>
    <row r="897">
      <c r="L897" s="5"/>
      <c r="M897" s="5"/>
    </row>
    <row r="898">
      <c r="L898" s="5"/>
      <c r="M898" s="5"/>
    </row>
    <row r="899">
      <c r="L899" s="5"/>
      <c r="M899" s="5"/>
    </row>
    <row r="900">
      <c r="L900" s="5"/>
      <c r="M900" s="5"/>
    </row>
    <row r="901">
      <c r="L901" s="5"/>
      <c r="M901" s="5"/>
    </row>
    <row r="902">
      <c r="L902" s="5"/>
      <c r="M902" s="5"/>
    </row>
    <row r="903">
      <c r="L903" s="5"/>
      <c r="M903" s="5"/>
    </row>
    <row r="904">
      <c r="L904" s="5"/>
      <c r="M904" s="5"/>
    </row>
    <row r="905">
      <c r="L905" s="5"/>
      <c r="M905" s="5"/>
    </row>
    <row r="906">
      <c r="L906" s="5"/>
      <c r="M906" s="5"/>
    </row>
    <row r="907">
      <c r="L907" s="5"/>
      <c r="M907" s="5"/>
    </row>
    <row r="908">
      <c r="L908" s="5"/>
      <c r="M908" s="5"/>
    </row>
    <row r="909">
      <c r="L909" s="5"/>
      <c r="M909" s="5"/>
    </row>
    <row r="910">
      <c r="L910" s="5"/>
      <c r="M910" s="5"/>
    </row>
    <row r="911">
      <c r="L911" s="5"/>
      <c r="M911" s="5"/>
    </row>
    <row r="912">
      <c r="L912" s="5"/>
      <c r="M912" s="5"/>
    </row>
    <row r="913">
      <c r="L913" s="5"/>
      <c r="M913" s="5"/>
    </row>
    <row r="914">
      <c r="L914" s="5"/>
      <c r="M914" s="5"/>
    </row>
    <row r="915">
      <c r="L915" s="5"/>
      <c r="M915" s="5"/>
    </row>
    <row r="916">
      <c r="L916" s="5"/>
      <c r="M916" s="5"/>
    </row>
    <row r="917">
      <c r="L917" s="5"/>
      <c r="M917" s="5"/>
    </row>
    <row r="918">
      <c r="L918" s="5"/>
      <c r="M918" s="5"/>
    </row>
    <row r="919">
      <c r="L919" s="5"/>
      <c r="M919" s="5"/>
    </row>
    <row r="920">
      <c r="L920" s="5"/>
      <c r="M920" s="5"/>
    </row>
    <row r="921">
      <c r="L921" s="5"/>
      <c r="M921" s="5"/>
    </row>
    <row r="922">
      <c r="L922" s="5"/>
      <c r="M922" s="5"/>
    </row>
    <row r="923">
      <c r="L923" s="5"/>
      <c r="M923" s="5"/>
    </row>
    <row r="924">
      <c r="L924" s="5"/>
      <c r="M924" s="5"/>
    </row>
    <row r="925">
      <c r="L925" s="5"/>
      <c r="M925" s="5"/>
    </row>
    <row r="926">
      <c r="L926" s="5"/>
      <c r="M926" s="5"/>
    </row>
    <row r="927">
      <c r="L927" s="5"/>
      <c r="M927" s="5"/>
    </row>
    <row r="928">
      <c r="L928" s="5"/>
      <c r="M928" s="5"/>
    </row>
    <row r="929">
      <c r="L929" s="5"/>
      <c r="M929" s="5"/>
    </row>
    <row r="930">
      <c r="L930" s="5"/>
      <c r="M930" s="5"/>
    </row>
    <row r="931">
      <c r="L931" s="5"/>
      <c r="M931" s="5"/>
    </row>
    <row r="932">
      <c r="L932" s="5"/>
      <c r="M932" s="5"/>
    </row>
    <row r="933">
      <c r="L933" s="5"/>
      <c r="M933" s="5"/>
    </row>
    <row r="934">
      <c r="L934" s="5"/>
      <c r="M934" s="5"/>
    </row>
    <row r="935">
      <c r="L935" s="5"/>
      <c r="M935" s="5"/>
    </row>
    <row r="936">
      <c r="L936" s="5"/>
      <c r="M936" s="5"/>
    </row>
    <row r="937">
      <c r="L937" s="5"/>
      <c r="M937" s="5"/>
    </row>
    <row r="938">
      <c r="L938" s="5"/>
      <c r="M938" s="5"/>
    </row>
    <row r="939">
      <c r="L939" s="5"/>
      <c r="M939" s="5"/>
    </row>
    <row r="940">
      <c r="L940" s="5"/>
      <c r="M940" s="5"/>
    </row>
    <row r="941">
      <c r="L941" s="5"/>
      <c r="M941" s="5"/>
    </row>
    <row r="942">
      <c r="L942" s="5"/>
      <c r="M942" s="5"/>
    </row>
    <row r="943">
      <c r="L943" s="5"/>
      <c r="M943" s="5"/>
    </row>
    <row r="944">
      <c r="L944" s="5"/>
      <c r="M944" s="5"/>
    </row>
    <row r="945">
      <c r="L945" s="5"/>
      <c r="M945" s="5"/>
    </row>
    <row r="946">
      <c r="L946" s="5"/>
      <c r="M946" s="5"/>
    </row>
    <row r="947">
      <c r="L947" s="5"/>
      <c r="M947" s="5"/>
    </row>
    <row r="948">
      <c r="L948" s="5"/>
      <c r="M948" s="5"/>
    </row>
    <row r="949">
      <c r="L949" s="5"/>
      <c r="M949" s="5"/>
    </row>
    <row r="950">
      <c r="L950" s="5"/>
      <c r="M950" s="5"/>
    </row>
    <row r="951">
      <c r="L951" s="5"/>
      <c r="M951" s="5"/>
    </row>
    <row r="952">
      <c r="L952" s="5"/>
      <c r="M952" s="5"/>
    </row>
    <row r="953">
      <c r="L953" s="5"/>
      <c r="M953" s="5"/>
    </row>
    <row r="954">
      <c r="L954" s="5"/>
      <c r="M954" s="5"/>
    </row>
    <row r="955">
      <c r="L955" s="5"/>
      <c r="M955" s="5"/>
    </row>
    <row r="956">
      <c r="L956" s="5"/>
      <c r="M956" s="5"/>
    </row>
    <row r="957">
      <c r="L957" s="5"/>
      <c r="M957" s="5"/>
    </row>
    <row r="958">
      <c r="L958" s="5"/>
      <c r="M958" s="5"/>
    </row>
    <row r="959">
      <c r="L959" s="5"/>
      <c r="M959" s="5"/>
    </row>
    <row r="960">
      <c r="L960" s="5"/>
      <c r="M960" s="5"/>
    </row>
    <row r="961">
      <c r="L961" s="5"/>
      <c r="M961" s="5"/>
    </row>
    <row r="962">
      <c r="L962" s="5"/>
      <c r="M962" s="5"/>
    </row>
    <row r="963">
      <c r="L963" s="5"/>
      <c r="M963" s="5"/>
    </row>
    <row r="964">
      <c r="L964" s="5"/>
      <c r="M964" s="5"/>
    </row>
    <row r="965">
      <c r="L965" s="5"/>
      <c r="M965" s="5"/>
    </row>
    <row r="966">
      <c r="L966" s="5"/>
      <c r="M966" s="5"/>
    </row>
    <row r="967">
      <c r="L967" s="5"/>
      <c r="M967" s="5"/>
    </row>
    <row r="968">
      <c r="L968" s="5"/>
      <c r="M968" s="5"/>
    </row>
    <row r="969">
      <c r="L969" s="5"/>
      <c r="M969" s="5"/>
    </row>
    <row r="970">
      <c r="L970" s="5"/>
      <c r="M970" s="5"/>
    </row>
    <row r="971">
      <c r="L971" s="5"/>
      <c r="M971" s="5"/>
    </row>
    <row r="972">
      <c r="L972" s="5"/>
      <c r="M972" s="5"/>
    </row>
    <row r="973">
      <c r="L973" s="5"/>
      <c r="M973" s="5"/>
    </row>
    <row r="974">
      <c r="L974" s="5"/>
      <c r="M974" s="5"/>
    </row>
    <row r="975">
      <c r="L975" s="5"/>
      <c r="M975" s="5"/>
    </row>
    <row r="976">
      <c r="L976" s="5"/>
      <c r="M976" s="5"/>
    </row>
    <row r="977">
      <c r="L977" s="5"/>
      <c r="M977" s="5"/>
    </row>
    <row r="978">
      <c r="L978" s="5"/>
      <c r="M978" s="5"/>
    </row>
    <row r="979">
      <c r="L979" s="5"/>
      <c r="M979" s="5"/>
    </row>
    <row r="980">
      <c r="L980" s="5"/>
      <c r="M980" s="5"/>
    </row>
    <row r="981">
      <c r="L981" s="5"/>
      <c r="M981" s="5"/>
    </row>
    <row r="982">
      <c r="L982" s="5"/>
      <c r="M982" s="5"/>
    </row>
    <row r="983">
      <c r="L983" s="5"/>
      <c r="M983" s="5"/>
    </row>
    <row r="984">
      <c r="L984" s="5"/>
      <c r="M984" s="5"/>
    </row>
    <row r="985">
      <c r="L985" s="5"/>
      <c r="M985" s="5"/>
    </row>
    <row r="986">
      <c r="L986" s="5"/>
      <c r="M986" s="5"/>
    </row>
    <row r="987">
      <c r="L987" s="5"/>
      <c r="M987" s="5"/>
    </row>
    <row r="988">
      <c r="L988" s="5"/>
      <c r="M988" s="5"/>
    </row>
    <row r="989">
      <c r="L989" s="5"/>
      <c r="M989" s="5"/>
    </row>
    <row r="990">
      <c r="L990" s="5"/>
      <c r="M990" s="5"/>
    </row>
    <row r="991">
      <c r="L991" s="5"/>
      <c r="M991" s="5"/>
    </row>
    <row r="992">
      <c r="L992" s="5"/>
      <c r="M992" s="5"/>
    </row>
    <row r="993">
      <c r="L993" s="5"/>
      <c r="M993" s="5"/>
    </row>
    <row r="994">
      <c r="L994" s="5"/>
      <c r="M994" s="5"/>
    </row>
    <row r="995">
      <c r="L995" s="5"/>
      <c r="M995" s="5"/>
    </row>
    <row r="996">
      <c r="L996" s="5"/>
      <c r="M996" s="5"/>
    </row>
    <row r="997">
      <c r="L997" s="5"/>
      <c r="M997" s="5"/>
    </row>
    <row r="998">
      <c r="L998" s="5"/>
      <c r="M998" s="5"/>
    </row>
    <row r="999">
      <c r="L999" s="5"/>
      <c r="M999" s="5"/>
    </row>
    <row r="1000">
      <c r="L1000" s="5"/>
      <c r="M1000" s="5"/>
    </row>
  </sheetData>
  <mergeCells count="5">
    <mergeCell ref="A26:H26"/>
    <mergeCell ref="O26:T26"/>
    <mergeCell ref="O33:T33"/>
    <mergeCell ref="A44:H44"/>
    <mergeCell ref="A52:H52"/>
  </mergeCells>
  <dataValidations>
    <dataValidation type="list" allowBlank="1" showErrorMessage="1" sqref="B9:H9">
      <formula1>"Faster than 1:20s,1:20-1:30,1:30-1:45,Slower than 1:45"</formula1>
    </dataValidation>
    <dataValidation type="list" allowBlank="1" showErrorMessage="1" sqref="B8:H8">
      <formula1>"Easy/Recovery,Steady/Aerobic,Tempo,High-Intensity"</formula1>
    </dataValidation>
  </dataValidations>
  <drawing r:id="rId1"/>
</worksheet>
</file>